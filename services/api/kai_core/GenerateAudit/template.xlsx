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Havas Accelerate SEM" sheetId="1" state="visible" r:id="rId1"/>
    <sheet xmlns:r="http://schemas.openxmlformats.org/officeDocument/2006/relationships" name="Insights" sheetId="2" state="visible" r:id="rId2"/>
  </sheets>
  <definedNames>
    <definedName name="_xlnm.Print_Area" localSheetId="0">'Havas Accelerate SEM'!$A$1:$F$99</definedName>
  </definedNames>
  <calcPr calcId="19102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family val="2"/>
      <b val="1"/>
      <color theme="1"/>
      <sz val="11"/>
      <scheme val="minor"/>
    </font>
    <font>
      <name val="Calibri"/>
      <family val="2"/>
      <color theme="1"/>
      <sz val="14"/>
      <scheme val="minor"/>
    </font>
    <font>
      <name val="Calibri"/>
      <family val="2"/>
      <b val="1"/>
      <color theme="1"/>
      <sz val="14"/>
      <scheme val="minor"/>
    </font>
    <font>
      <name val="Calibri"/>
      <family val="2"/>
      <color theme="1"/>
      <sz val="10"/>
      <scheme val="minor"/>
    </font>
    <font>
      <name val="Calibri"/>
      <family val="2"/>
      <b val="1"/>
      <color theme="0"/>
      <sz val="14"/>
      <scheme val="minor"/>
    </font>
    <font>
      <name val="Calibri"/>
      <family val="2"/>
      <sz val="11"/>
      <scheme val="minor"/>
    </font>
    <font>
      <name val="Segoe UI"/>
      <family val="2"/>
      <b val="1"/>
      <color rgb="FFCCCCCC"/>
      <sz val="7"/>
    </font>
    <font>
      <name val="Calibri"/>
      <b val="1"/>
      <sz val="14"/>
    </font>
    <font>
      <name val="Calibri"/>
      <b val="1"/>
      <sz val="11"/>
    </font>
    <font>
      <name val="Calibri"/>
      <family val="2"/>
      <color theme="1"/>
      <sz val="16"/>
      <scheme val="minor"/>
    </font>
    <font>
      <b val="1"/>
    </font>
  </fonts>
  <fills count="10">
    <fill>
      <patternFill/>
    </fill>
    <fill>
      <patternFill patternType="gray125"/>
    </fill>
    <fill>
      <patternFill patternType="solid">
        <fgColor theme="0"/>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theme="8"/>
        <bgColor indexed="64"/>
      </patternFill>
    </fill>
    <fill>
      <patternFill patternType="solid">
        <fgColor theme="8" tint="0.7999816888943144"/>
        <bgColor indexed="64"/>
      </patternFill>
    </fill>
    <fill>
      <patternFill patternType="solid">
        <fgColor rgb="FF002060"/>
        <bgColor indexed="64"/>
      </patternFill>
    </fill>
    <fill>
      <patternFill patternType="solid">
        <fgColor rgb="FFEFEFEF"/>
      </patternFill>
    </fill>
    <fill>
      <patternFill patternType="solid">
        <fgColor rgb="00EFEFEF"/>
      </patternFill>
    </fill>
  </fills>
  <borders count="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53">
    <xf numFmtId="0" fontId="0" fillId="0" borderId="0" pivotButton="0" quotePrefix="0" xfId="0"/>
    <xf numFmtId="0" fontId="0" fillId="2" borderId="0" pivotButton="0" quotePrefix="0" xfId="0"/>
    <xf numFmtId="0" fontId="0" fillId="2" borderId="0" applyAlignment="1" pivotButton="0" quotePrefix="0" xfId="0">
      <alignment vertical="center"/>
    </xf>
    <xf numFmtId="0" fontId="0" fillId="2" borderId="0" applyAlignment="1" pivotButton="0" quotePrefix="0" xfId="0">
      <alignment horizontal="center" vertical="center"/>
    </xf>
    <xf numFmtId="0" fontId="0" fillId="2" borderId="0" applyAlignment="1" pivotButton="0" quotePrefix="0" xfId="0">
      <alignment horizontal="left" vertical="center"/>
    </xf>
    <xf numFmtId="0" fontId="0" fillId="2" borderId="0" applyAlignment="1" pivotButton="0" quotePrefix="0" xfId="0">
      <alignment horizontal="left" vertical="center" wrapText="1"/>
    </xf>
    <xf numFmtId="0" fontId="0" fillId="2" borderId="2" applyAlignment="1" pivotButton="0" quotePrefix="0" xfId="0">
      <alignment vertical="center"/>
    </xf>
    <xf numFmtId="0" fontId="0" fillId="2" borderId="2" applyAlignment="1" pivotButton="0" quotePrefix="0" xfId="0">
      <alignment horizontal="center" vertical="top"/>
    </xf>
    <xf numFmtId="0" fontId="0" fillId="2" borderId="2" applyAlignment="1" pivotButton="0" quotePrefix="0" xfId="0">
      <alignment horizontal="left" vertical="center"/>
    </xf>
    <xf numFmtId="0" fontId="0" fillId="2" borderId="2"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top"/>
    </xf>
    <xf numFmtId="0" fontId="1" fillId="4" borderId="2" applyAlignment="1" pivotButton="0" quotePrefix="0" xfId="0">
      <alignment vertical="center"/>
    </xf>
    <xf numFmtId="164" fontId="1" fillId="4" borderId="2" applyAlignment="1" pivotButton="0" quotePrefix="0" xfId="0">
      <alignment horizontal="center" vertical="center"/>
    </xf>
    <xf numFmtId="0" fontId="1" fillId="4" borderId="2" applyAlignment="1" pivotButton="0" quotePrefix="0" xfId="0">
      <alignment horizontal="left" vertical="center"/>
    </xf>
    <xf numFmtId="0" fontId="1" fillId="2" borderId="0" pivotButton="0" quotePrefix="0" xfId="0"/>
    <xf numFmtId="0" fontId="0" fillId="4"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2" pivotButton="0" quotePrefix="0" xfId="0"/>
    <xf numFmtId="0" fontId="6" fillId="2" borderId="2" applyAlignment="1" pivotButton="0" quotePrefix="0" xfId="0">
      <alignment vertical="center"/>
    </xf>
    <xf numFmtId="0" fontId="0" fillId="4" borderId="2" applyAlignment="1" pivotButton="0" quotePrefix="0" xfId="0">
      <alignment vertical="center" wrapText="1"/>
    </xf>
    <xf numFmtId="0" fontId="6" fillId="2" borderId="2" applyAlignment="1" pivotButton="0" quotePrefix="0" xfId="0">
      <alignment horizontal="left" vertical="center" wrapText="1"/>
    </xf>
    <xf numFmtId="0" fontId="0" fillId="2" borderId="2" applyAlignment="1" pivotButton="0" quotePrefix="0" xfId="0">
      <alignment vertical="center" wrapText="1"/>
    </xf>
    <xf numFmtId="0" fontId="0" fillId="2" borderId="2" applyAlignment="1" pivotButton="0" quotePrefix="0" xfId="0">
      <alignment horizontal="center" vertical="center" wrapText="1"/>
    </xf>
    <xf numFmtId="0" fontId="1" fillId="4" borderId="2" applyAlignment="1" pivotButton="0" quotePrefix="0" xfId="0">
      <alignment horizontal="left" vertical="center" wrapText="1"/>
    </xf>
    <xf numFmtId="0" fontId="1" fillId="4" borderId="5" applyAlignment="1" pivotButton="0" quotePrefix="0" xfId="0">
      <alignment vertical="center"/>
    </xf>
    <xf numFmtId="0" fontId="0" fillId="2" borderId="5" applyAlignment="1" pivotButton="0" quotePrefix="0" xfId="0">
      <alignment vertical="center"/>
    </xf>
    <xf numFmtId="0" fontId="2" fillId="0" borderId="2" applyAlignment="1" pivotButton="0" quotePrefix="0" xfId="0">
      <alignment vertical="center"/>
    </xf>
    <xf numFmtId="0" fontId="2" fillId="2" borderId="2" applyAlignment="1" pivotButton="0" quotePrefix="0" xfId="0">
      <alignment vertical="center"/>
    </xf>
    <xf numFmtId="9" fontId="2" fillId="2" borderId="0" applyAlignment="1" pivotButton="0" quotePrefix="0" xfId="0">
      <alignment vertical="center"/>
    </xf>
    <xf numFmtId="0" fontId="2" fillId="2" borderId="0" applyAlignment="1" pivotButton="0" quotePrefix="0" xfId="0">
      <alignment horizontal="center" vertical="center"/>
    </xf>
    <xf numFmtId="164" fontId="5" fillId="5" borderId="2" applyAlignment="1" pivotButton="0" quotePrefix="0" xfId="0">
      <alignment horizontal="center" vertical="center"/>
    </xf>
    <xf numFmtId="0" fontId="5" fillId="5" borderId="2" applyAlignment="1" pivotButton="0" quotePrefix="0" xfId="0">
      <alignment horizontal="center" vertical="center"/>
    </xf>
    <xf numFmtId="0" fontId="5" fillId="7" borderId="2" applyAlignment="1" pivotButton="0" quotePrefix="0" xfId="0">
      <alignment horizontal="center" vertical="center"/>
    </xf>
    <xf numFmtId="0" fontId="3" fillId="6" borderId="2" applyAlignment="1" pivotButton="0" quotePrefix="0" xfId="0">
      <alignment horizontal="center" vertical="center"/>
    </xf>
    <xf numFmtId="0" fontId="0" fillId="0" borderId="3" pivotButton="0" quotePrefix="0" xfId="0"/>
    <xf numFmtId="0" fontId="0" fillId="0" borderId="4" pivotButton="0" quotePrefix="0" xfId="0"/>
    <xf numFmtId="0" fontId="3" fillId="6" borderId="1" applyAlignment="1" pivotButton="0" quotePrefix="0" xfId="0">
      <alignment horizontal="center" vertical="center"/>
    </xf>
    <xf numFmtId="0" fontId="3" fillId="4" borderId="1" applyAlignment="1" pivotButton="0" quotePrefix="0" xfId="0">
      <alignment horizontal="center" vertical="center" wrapText="1"/>
    </xf>
    <xf numFmtId="0" fontId="3" fillId="4" borderId="2" applyAlignment="1" pivotButton="0" quotePrefix="0" xfId="0">
      <alignment horizontal="center" vertical="center" wrapText="1"/>
    </xf>
    <xf numFmtId="0" fontId="3" fillId="2" borderId="2" applyAlignment="1" pivotButton="0" quotePrefix="0" xfId="0">
      <alignment horizontal="center" vertical="center"/>
    </xf>
    <xf numFmtId="0" fontId="3" fillId="3" borderId="2" applyAlignment="1" pivotButton="0" quotePrefix="0" xfId="0">
      <alignment horizontal="center" vertical="center"/>
    </xf>
    <xf numFmtId="0" fontId="7" fillId="0" borderId="0" pivotButton="0" quotePrefix="0" xfId="0"/>
    <xf numFmtId="0" fontId="0" fillId="2" borderId="0" applyAlignment="1" pivotButton="0" quotePrefix="0" xfId="0">
      <alignment wrapText="1"/>
    </xf>
    <xf numFmtId="0" fontId="4" fillId="2" borderId="0" applyAlignment="1" pivotButton="0" quotePrefix="0" xfId="0">
      <alignment horizontal="left" vertical="top" wrapText="1"/>
    </xf>
    <xf numFmtId="0" fontId="5" fillId="7" borderId="2" applyAlignment="1" pivotButton="0" quotePrefix="0" xfId="0">
      <alignment horizontal="center" vertical="center" wrapText="1"/>
    </xf>
    <xf numFmtId="0" fontId="0" fillId="2" borderId="2" applyAlignment="1" pivotButton="0" quotePrefix="0" xfId="0">
      <alignment wrapText="1"/>
    </xf>
    <xf numFmtId="0" fontId="1" fillId="4" borderId="2" applyAlignment="1" pivotButton="0" quotePrefix="0" xfId="0">
      <alignment vertical="center" wrapText="1"/>
    </xf>
    <xf numFmtId="0" fontId="0" fillId="0" borderId="0" applyAlignment="1" pivotButton="0" quotePrefix="0" xfId="0">
      <alignment wrapText="1"/>
    </xf>
    <xf numFmtId="0" fontId="8" fillId="0" borderId="0" pivotButton="0" quotePrefix="0" xfId="0"/>
    <xf numFmtId="0" fontId="9" fillId="8" borderId="0" pivotButton="0" quotePrefix="0" xfId="0"/>
    <xf numFmtId="164" fontId="10" fillId="2" borderId="2" applyAlignment="1" pivotButton="0" quotePrefix="0" xfId="0">
      <alignment horizontal="center" vertical="center"/>
    </xf>
    <xf numFmtId="0" fontId="11" fillId="9"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plotArea>
      <layout>
        <manualLayout>
          <layoutTarget val="inner"/>
          <xMode val="edge"/>
          <yMode val="edge"/>
          <wMode val="factor"/>
          <hMode val="factor"/>
          <x val="0.2309611405060868"/>
          <y val="0.1683754476823729"/>
          <w val="0.564202075379138"/>
          <h val="0.8677695684019863"/>
        </manualLayout>
      </layout>
      <radarChart>
        <radarStyle val="marker"/>
        <varyColors val="0"/>
        <ser>
          <idx val="0"/>
          <order val="0"/>
          <tx>
            <strRef>
              <f>'Havas Accelerate SEM'!$D$94</f>
              <strCache>
                <ptCount val="1"/>
                <pt idx="0">
                  <v>Score</v>
                </pt>
              </strCache>
            </strRef>
          </tx>
          <spPr>
            <a:ln xmlns:a="http://schemas.openxmlformats.org/drawingml/2006/main" w="127000">
              <a:solidFill>
                <a:schemeClr val="accent1"/>
              </a:solidFill>
              <a:prstDash val="solid"/>
            </a:ln>
          </spPr>
          <marker>
            <symbol val="none"/>
            <spPr>
              <a:ln xmlns:a="http://schemas.openxmlformats.org/drawingml/2006/mai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vertOverflow="clip" horzOverflow="clip" wrap="square" lIns="38100" tIns="19050" rIns="38100" bIns="19050" anchor="ctr" anchorCtr="0">
                <a:noAutofit/>
              </a:bodyPr>
              <a:lstStyle xmlns:a="http://schemas.openxmlformats.org/drawingml/2006/main"/>
              <a:p xmlns:a="http://schemas.openxmlformats.org/drawingml/2006/main">
                <a:pPr>
                  <a:defRPr sz="2000" b="1"/>
                </a:pPr>
                <a:r>
                  <a:t>None</a:t>
                </a:r>
                <a:endParaRPr lang="en-US"/>
              </a:p>
            </txPr>
            <showLegendKey val="0"/>
            <showVal val="1"/>
            <showCatName val="1"/>
            <showSerName val="0"/>
            <showPercent val="0"/>
            <showBubbleSize val="0"/>
            <showLeaderLines val="0"/>
          </dLbls>
          <cat>
            <strRef>
              <f>'Havas Accelerate SEM'!$B$95:$B$101</f>
              <strCache>
                <ptCount val="7"/>
                <pt idx="0">
                  <v>People and Process</v>
                </pt>
                <pt idx="1">
                  <v>Strategic Alignment</v>
                </pt>
                <pt idx="2">
                  <v>Media &amp; Channel Planning</v>
                </pt>
                <pt idx="3">
                  <v>Data, Targeting, and Technology</v>
                </pt>
                <pt idx="4">
                  <v>Buying Strategy</v>
                </pt>
                <pt idx="5">
                  <v>Creative, Messaging, and Formats</v>
                </pt>
                <pt idx="6">
                  <v>Measurement</v>
                </pt>
              </strCache>
            </strRef>
          </cat>
          <val>
            <numRef>
              <f>'Havas Accelerate SEM'!$D$95:$D$101</f>
              <numCache>
                <formatCode>0.0</formatCode>
                <ptCount val="7"/>
                <pt idx="0">
                  <v>0</v>
                </pt>
                <pt idx="1">
                  <v>0</v>
                </pt>
                <pt idx="2">
                  <v>0</v>
                </pt>
                <pt idx="3">
                  <v>0</v>
                </pt>
                <pt idx="4">
                  <v>0</v>
                </pt>
                <pt idx="5">
                  <v>0</v>
                </pt>
                <pt idx="6">
                  <v>0</v>
                </pt>
              </numCache>
            </numRef>
          </val>
        </ser>
        <dLbls>
          <showLegendKey val="0"/>
          <showVal val="0"/>
          <showCatName val="0"/>
          <showSerName val="0"/>
          <showPercent val="0"/>
          <showBubbleSize val="0"/>
        </dLbls>
        <axId val="727286416"/>
        <axId val="727284976"/>
      </radarChart>
      <catAx>
        <axId val="727286416"/>
        <scaling>
          <orientation val="minMax"/>
        </scaling>
        <delete val="1"/>
        <axPos val="b"/>
        <majorGridlines/>
        <numFmt formatCode="General" sourceLinked="1"/>
        <majorTickMark val="out"/>
        <minorTickMark val="none"/>
        <tickLblPos val="nextTo"/>
        <crossAx val="727284976"/>
        <crosses val="autoZero"/>
        <auto val="1"/>
        <lblAlgn val="ctr"/>
        <lblOffset val="100"/>
        <noMultiLvlLbl val="0"/>
      </catAx>
      <valAx>
        <axId val="727284976"/>
        <scaling>
          <orientation val="minMax"/>
        </scaling>
        <delete val="1"/>
        <axPos val="l"/>
        <majorGridlines/>
        <numFmt formatCode="0.0" sourceLinked="1"/>
        <majorTickMark val="cross"/>
        <minorTickMark val="none"/>
        <tickLblPos val="nextTo"/>
        <crossAx val="727286416"/>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45357</colOff>
      <row>93</row>
      <rowOff>18144</rowOff>
    </from>
    <to>
      <col>6</col>
      <colOff>2086428</colOff>
      <row>123</row>
      <rowOff>154214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FF0000"/>
    <outlinePr summaryBelow="1" summaryRight="1"/>
    <pageSetUpPr fitToPage="1"/>
  </sheetPr>
  <dimension ref="A1:J116"/>
  <sheetViews>
    <sheetView showGridLines="0" tabSelected="1" topLeftCell="A59" zoomScale="70" zoomScaleNormal="70" zoomScaleSheetLayoutView="70" zoomScalePageLayoutView="75" workbookViewId="0">
      <selection activeCell="E79" sqref="E79"/>
    </sheetView>
  </sheetViews>
  <sheetFormatPr baseColWidth="8" defaultColWidth="8.90625" defaultRowHeight="14.5"/>
  <cols>
    <col width="42.54296875" bestFit="1" customWidth="1" style="1" min="1" max="1"/>
    <col width="41.08984375" bestFit="1" customWidth="1" style="2" min="2" max="2"/>
    <col width="54.453125" bestFit="1" customWidth="1" style="3" min="3" max="3"/>
    <col width="8.81640625" bestFit="1" customWidth="1" style="4" min="4" max="4"/>
    <col width="161.81640625" bestFit="1" customWidth="1" style="5" min="5" max="5"/>
    <col width="90.7265625" bestFit="1" customWidth="1" style="1" min="6" max="6"/>
    <col width="193.54296875" bestFit="1" customWidth="1" style="1" min="7" max="7"/>
    <col width="8.90625" customWidth="1" style="1" min="8" max="12"/>
    <col width="8.90625" customWidth="1" style="1" min="13" max="16384"/>
  </cols>
  <sheetData>
    <row r="1" ht="94.5" customHeight="1">
      <c r="A1" s="49" t="inlineStr">
        <is>
          <t>Klaudit AI Audit - Asset_Management - 2025-11-17 21:47:14</t>
        </is>
      </c>
      <c r="B1" s="30" t="n"/>
      <c r="C1" s="42" t="n"/>
      <c r="J1" t="inlineStr">
        <is>
          <t>Theme</t>
        </is>
      </c>
    </row>
    <row r="2" ht="20.15" customHeight="1">
      <c r="B2" s="40" t="inlineStr">
        <is>
          <t>KEY</t>
        </is>
      </c>
      <c r="C2" s="6" t="inlineStr">
        <is>
          <t>Not Relevant</t>
        </is>
      </c>
      <c r="D2" s="7" t="inlineStr">
        <is>
          <t>N/A</t>
        </is>
      </c>
      <c r="E2" s="43" t="n"/>
      <c r="J2" t="inlineStr">
        <is>
          <t>People and Process</t>
        </is>
      </c>
    </row>
    <row r="3" ht="20.15" customHeight="1">
      <c r="B3" s="35" t="n"/>
      <c r="C3" s="8" t="inlineStr">
        <is>
          <t>Non-Existent. Don't do this at all. Extremely Poor</t>
        </is>
      </c>
      <c r="D3" s="9" t="n">
        <v>1</v>
      </c>
      <c r="E3" s="44" t="n"/>
      <c r="J3" t="inlineStr">
        <is>
          <t>Strategic Alignment</t>
        </is>
      </c>
    </row>
    <row r="4" ht="20.15" customHeight="1">
      <c r="B4" s="35" t="n"/>
      <c r="C4" s="8" t="inlineStr">
        <is>
          <t>Poor. Don't do this very well</t>
        </is>
      </c>
      <c r="D4" s="9" t="n">
        <v>2</v>
      </c>
      <c r="E4" s="44" t="n"/>
      <c r="J4" t="inlineStr">
        <is>
          <t>Media &amp; Channel Planning</t>
        </is>
      </c>
    </row>
    <row r="5" ht="20.15" customHeight="1">
      <c r="B5" s="35" t="n"/>
      <c r="C5" s="8" t="inlineStr">
        <is>
          <t>OK. Lots of room for improvement</t>
        </is>
      </c>
      <c r="D5" s="9" t="n">
        <v>3</v>
      </c>
      <c r="E5" s="44" t="n"/>
      <c r="J5" t="inlineStr">
        <is>
          <t>Data, Targeting, and Technology</t>
        </is>
      </c>
    </row>
    <row r="6" ht="20.15" customHeight="1">
      <c r="B6" s="35" t="n"/>
      <c r="C6" s="8" t="inlineStr">
        <is>
          <t>Good. Some room for improvement</t>
        </is>
      </c>
      <c r="D6" s="9" t="n">
        <v>4</v>
      </c>
      <c r="E6" s="44" t="n"/>
      <c r="J6" t="inlineStr">
        <is>
          <t>Buying Strategy</t>
        </is>
      </c>
    </row>
    <row r="7" ht="20.15" customHeight="1">
      <c r="B7" s="36" t="n"/>
      <c r="C7" s="8" t="n"/>
      <c r="D7" s="9" t="n"/>
      <c r="E7" s="44" t="n"/>
      <c r="J7" t="inlineStr">
        <is>
          <t>Creative, Messaging, and Formats</t>
        </is>
      </c>
    </row>
    <row r="8" ht="20.15" customHeight="1">
      <c r="B8" s="10" t="n"/>
      <c r="D8" s="11" t="n"/>
      <c r="E8" s="44" t="n"/>
      <c r="J8" t="inlineStr">
        <is>
          <t>Measurement</t>
        </is>
      </c>
    </row>
    <row r="9" ht="20.15" customHeight="1"/>
    <row r="10" ht="20.15" customHeight="1">
      <c r="B10" s="33" t="inlineStr">
        <is>
          <t>Category</t>
        </is>
      </c>
      <c r="C10" s="33" t="inlineStr">
        <is>
          <t>Item</t>
        </is>
      </c>
      <c r="D10" s="33" t="inlineStr">
        <is>
          <t xml:space="preserve"> Rating</t>
        </is>
      </c>
      <c r="E10" s="45" t="inlineStr">
        <is>
          <t>Details</t>
        </is>
      </c>
      <c r="F10" s="33" t="inlineStr">
        <is>
          <t>Next Steps/Action Items</t>
        </is>
      </c>
      <c r="G10" s="33" t="n"/>
    </row>
    <row r="11" ht="15" customFormat="1" customHeight="1" s="15">
      <c r="B11" s="41" t="inlineStr">
        <is>
          <t>Separate campaigns for exact/phrase/broad match types</t>
        </is>
      </c>
      <c r="C11" s="12" t="inlineStr">
        <is>
          <t>Overall</t>
        </is>
      </c>
      <c r="D11" s="13">
        <f>IFERROR(AVERAGE(D12:D19)," ")</f>
        <v/>
      </c>
      <c r="E11" s="24" t="n"/>
      <c r="F11" s="14" t="n"/>
      <c r="G11" s="16" t="n"/>
    </row>
    <row r="12" ht="15" customHeight="1">
      <c r="B12" s="35" t="inlineStr">
        <is>
          <t>Manual CPC for all campaigns despite conversion tracking</t>
        </is>
      </c>
      <c r="C12" s="6" t="inlineStr">
        <is>
          <t>Campaigns split by match type?</t>
        </is>
      </c>
      <c r="D12" s="9" t="n">
        <v>5</v>
      </c>
      <c r="E12" s="17" t="inlineStr">
        <is>
          <t>Consolidated Smart Bidding structure: 68/68 campaigns (100.0%) contain multiple match types, while Smart Bidding adoption is 87% with 9 manual campaigns still in rotation. 0 campaigns still isolate match types and should be collapsed.</t>
        </is>
      </c>
      <c r="F12" s="17" t="inlineStr">
        <is>
          <t>Maintain the consolidated Smart Bidding campaign structure and keep automation in control of match-type guardrails.</t>
        </is>
      </c>
      <c r="G12" s="17" t="inlineStr">
        <is>
          <t>All 68 campaigns (100%) are consolidated and contain multiple match types, with none isolating match types. This fully aligns with best practices for campaign structure under Smart Bidding, as confirmed by the provided calculation and details. The recommendation is to maintain this structure, and the confidence level is high. Therefore, the criterion is met at an excellent level.</t>
        </is>
      </c>
    </row>
    <row r="13" ht="15" customHeight="1">
      <c r="B13" s="35" t="n"/>
      <c r="C13" s="6" t="inlineStr">
        <is>
          <t>Granular Campaigns?</t>
        </is>
      </c>
      <c r="D13" s="9" t="n">
        <v>2</v>
      </c>
      <c r="E13" s="17" t="inlineStr">
        <is>
          <t>Acceptable: 2.5 ad groups per campaign (5-10 optimal for manageability) Signal density: Insufficient signals: 9/59 Smart Bidding campaigns (15%) have ≥30 conversions/30d. 50 campaigns need additional volume.</t>
        </is>
      </c>
      <c r="F13" s="8" t="inlineStr">
        <is>
          <t>Increase budgets or consolidate low-volume campaigns so each Smart Bidding campaign captures 30+ conversions per 30 days.</t>
        </is>
      </c>
      <c r="G13" s="17" t="inlineStr">
        <is>
          <t>The account averages 2.5 ad groups per campaign, which is below the optimal range (5-10) for manageability and granularity. Only 15% of Smart Bidding campaigns have sufficient conversion volume (≥30 conversions/30d), indicating poor signal density. With 50 campaigns needing more volume, the structure is not granular enough to support effective Smart Bidding. The evidence and calculations support a score of 2, reflecting a below-average but not entirely absent level of campaign granularity.</t>
        </is>
      </c>
    </row>
    <row r="14" ht="15" customHeight="1">
      <c r="B14" s="35" t="n"/>
      <c r="C14" s="6" t="inlineStr">
        <is>
          <t>Granular Ad Groups ?</t>
        </is>
      </c>
      <c r="D14" s="9" t="n">
        <v>4</v>
      </c>
      <c r="E14" s="17" t="inlineStr">
        <is>
          <t>Acceptable: 4.9 keywords per ad group (10-20 optimal for relevance)</t>
        </is>
      </c>
      <c r="F14" s="17" t="inlineStr">
        <is>
          <t>Split ad groups with &gt;30 keywords into tighter themes. Merge ad groups with &lt;5 keywords.</t>
        </is>
      </c>
      <c r="G14" s="17" t="inlineStr">
        <is>
          <t>The account averages 4.9 keywords per ad group, which is slightly below the optimal range (10-20) for relevance but still acceptable. This indicates a fairly granular structure, reducing risk of irrelevant ad serving. The recommendation to split ad groups with &gt;30 keywords and merge those with &lt;5 keywords shows awareness of outliers and a plan for improvement. Overall, the structure is solid, with minor adjustments needed for optimal performance. Business impact is low, and confidence in the assessment is high.</t>
        </is>
      </c>
    </row>
    <row r="15" ht="18.75" customHeight="1">
      <c r="B15" s="35" t="n"/>
      <c r="C15" s="6" t="inlineStr">
        <is>
          <t>Account active in all engines - Google</t>
        </is>
      </c>
      <c r="D15" s="9" t="n">
        <v>5</v>
      </c>
      <c r="E15" s="17" t="inlineStr">
        <is>
          <t>Google: 37 campaigns active</t>
        </is>
      </c>
      <c r="F15" s="17" t="inlineStr">
        <is>
          <t>Google Ads is active and generating impressions.</t>
        </is>
      </c>
      <c r="G15" s="17" t="inlineStr">
        <is>
          <t>The account has 37 active campaigns in Google Ads, clearly demonstrating activity across the engine. The evidence is specific and quantitative, confirming the criterion is fully met. No issues or gaps are noted, and the confidence level is high. The business impact is low, as this is a basic compliance check.</t>
        </is>
      </c>
    </row>
    <row r="16" ht="18.75" customHeight="1">
      <c r="B16" s="35" t="n"/>
      <c r="C16" s="6" t="inlineStr">
        <is>
          <t>Account active in all engines - BING</t>
        </is>
      </c>
      <c r="D16" s="9" t="n">
        <v>5</v>
      </c>
      <c r="E16" s="17" t="inlineStr">
        <is>
          <t>Microsoft: 31 campaigns active</t>
        </is>
      </c>
      <c r="F16" s="17" t="inlineStr">
        <is>
          <t>Microsoft Ads is active.</t>
        </is>
      </c>
      <c r="G16" s="17" t="inlineStr">
        <is>
          <t>The account has 31 active campaigns in Microsoft Ads, clearly demonstrating activity in Bing. The evidence is specific and quantitative, supporting the initial score. The recommendation confirms Microsoft Ads is active. Confidence is high and business impact is low, so the criterion is fully met.</t>
        </is>
      </c>
    </row>
    <row r="17" ht="18.75" customHeight="1">
      <c r="B17" s="35" t="n"/>
      <c r="C17" s="6" t="inlineStr">
        <is>
          <t>Account active in all engines - Other</t>
        </is>
      </c>
      <c r="D17" s="9" t="n">
        <v>5</v>
      </c>
      <c r="E17" s="46" t="inlineStr">
        <is>
          <t>No other engines (Google + Microsoft only, as expected for financial services)</t>
        </is>
      </c>
      <c r="F17" s="18" t="inlineStr">
        <is>
          <t>N/A - Google and Microsoft provide sufficient coverage.</t>
        </is>
      </c>
      <c r="G17" s="17" t="inlineStr">
        <is>
          <t>The account is active in both Google and Microsoft, which are the primary and most relevant engines for financial services. No other engines are expected or necessary for this vertical, and coverage is sufficient. The evidence confirms compliance with industry norms, and there is no business impact from not using additional engines.</t>
        </is>
      </c>
    </row>
    <row r="18" ht="18.75" customHeight="1">
      <c r="B18" s="35" t="n"/>
      <c r="C18" s="6" t="inlineStr">
        <is>
          <t>PMAX within account</t>
        </is>
      </c>
      <c r="D18" s="9" t="n">
        <v>1</v>
      </c>
      <c r="E18" s="46" t="inlineStr">
        <is>
          <t>None: 0 PMAX campaigns (0.0% of Google campaigns)</t>
        </is>
      </c>
      <c r="F18" s="18" t="inlineStr">
        <is>
          <t>Consider testing Performance Max for automated cross-channel reach.</t>
        </is>
      </c>
      <c r="G18" s="17" t="inlineStr">
        <is>
          <t>There are no PMAX campaigns in the account (0 out of all Google campaigns), as confirmed by the details and calculation. This means the criterion is non-existent, justifying the lowest score. While the business impact is low and recommendations suggest testing PMAX, the current state does not meet any standard for PMAX presence or utilization.</t>
        </is>
      </c>
    </row>
    <row r="19" ht="18.75" customHeight="1">
      <c r="B19" s="36" t="n"/>
      <c r="C19" s="6" t="inlineStr">
        <is>
          <t>Are naming conventions in place?</t>
        </is>
      </c>
      <c r="D19" s="9" t="n">
        <v>5</v>
      </c>
      <c r="E19" s="17" t="inlineStr">
        <is>
          <t>Excellent: 68/68 campaigns (100.0%) use structured naming (delimiters)</t>
        </is>
      </c>
      <c r="F19" s="17" t="inlineStr">
        <is>
          <t>Naming conventions are well-established.</t>
        </is>
      </c>
      <c r="G19" s="17" t="inlineStr">
        <is>
          <t>All 68 campaigns (100%) use structured naming conventions with delimiters, demonstrating consistent and thorough application. The evidence is clear and comprehensive, with no gaps or exceptions. This supports the initial score of 5, indicating excellent adherence. The recommendation confirms that naming conventions are well-established, and the high confidence level further validates the assessment.</t>
        </is>
      </c>
    </row>
    <row r="20" ht="14.5" customFormat="1" customHeight="1" s="15">
      <c r="B20" s="37" t="inlineStr">
        <is>
          <t>Keywords</t>
        </is>
      </c>
      <c r="C20" s="12" t="inlineStr">
        <is>
          <t>Overall</t>
        </is>
      </c>
      <c r="D20" s="13">
        <f>IFERROR(AVERAGE(D21:D26)," ")</f>
        <v/>
      </c>
      <c r="E20" s="24" t="n"/>
      <c r="F20" s="14" t="n"/>
      <c r="G20" s="16" t="n"/>
    </row>
    <row r="21" ht="14.5" customHeight="1">
      <c r="B21" s="35" t="n"/>
      <c r="C21" s="6" t="inlineStr">
        <is>
          <t>Good Coverage?</t>
        </is>
      </c>
      <c r="D21" s="9" t="n">
        <v>5</v>
      </c>
      <c r="E21" s="17" t="inlineStr">
        <is>
          <t>Excellent: 1,184,973 total impressions across 1047 campaigns</t>
        </is>
      </c>
      <c r="F21" s="17" t="inlineStr">
        <is>
          <t>Strong impression volume indicates good keyword coverage.</t>
        </is>
      </c>
      <c r="G21" s="17" t="inlineStr">
        <is>
          <t>The account achieved 1,184,973 total impressions across 1047 campaigns, which demonstrates extensive reach and strong keyword coverage. The high impression volume suggests that ads are being shown for a wide variety of relevant searches, supporting the initial score of 5. While the business impact is noted as low, the evidence provided clearly supports excellent coverage.</t>
        </is>
      </c>
    </row>
    <row r="22" ht="29" customHeight="1">
      <c r="B22" s="35" t="n"/>
      <c r="C22" s="6" t="inlineStr">
        <is>
          <t>High Quality Scores?</t>
        </is>
      </c>
      <c r="D22" s="9" t="n">
        <v>4</v>
      </c>
      <c r="E22" s="17" t="inlineStr">
        <is>
          <t>Healthy Quality Scores: Weighted QS 7.6. 53% of impressions at QS ≥8. 9% at QS ≤3 (≤2: 1%). Rows analyzed: 606</t>
        </is>
      </c>
      <c r="F22" s="17" t="inlineStr">
        <is>
          <t>Maintain current Quality Score program and continue refreshing ads quarterly.</t>
        </is>
      </c>
      <c r="G22" s="17" t="inlineStr">
        <is>
          <t>Quality Score governs CPC efficiency and impression eligibility in Google Ads auctions. Our applied threshold: Maintain weighted QS ≥7 with &lt;10% of volume scoring ≤3 to avoid cost penalties (audit standard). In your account, Your weighted QS is 7.6 with 9% of traffic ≤3 and 53% ≥8 across 606 keywords.
The account demonstrates strong Quality Scores, with a weighted average of 7.6 and over half (53%) of impressions at QS ≥8, indicating well-optimized keywords and ads. Only 9% of impressions are at QS ≤3, with just 1% at the lowest scores, suggesting minimal risk from poor-performing elements. The analysis covers a substantial sample (606 rows), supporting the reliability of these findings. While not perfect, the results are well above average, justifying a score of 4. Continued quarterly ad refreshes are recommended to maintain or improve these metrics.</t>
        </is>
      </c>
    </row>
    <row r="23" ht="14.5" customHeight="1">
      <c r="B23" s="35" t="n"/>
      <c r="C23" s="6" t="inlineStr">
        <is>
          <t>No Active Ad Group missing Active Keywords</t>
        </is>
      </c>
      <c r="D23" s="9" t="n">
        <v>5</v>
      </c>
      <c r="E23" s="17" t="inlineStr">
        <is>
          <t>Excellent: 0/1195 active ad groups (0.0%) have zero keywords</t>
        </is>
      </c>
      <c r="F23" s="17" t="inlineStr">
        <is>
          <t>Keyword coverage is excellent.</t>
        </is>
      </c>
      <c r="G23" s="17" t="inlineStr">
        <is>
          <t>The audit found that 0 out of 1195 active ad groups (0.0%) are missing active keywords, as confirmed by the calculation (AGs without keywords: 0). This demonstrates complete keyword coverage across all active ad groups, which is best practice for PPC account structure. The evidence is clear and comprehensive, supporting the initial score of 5. No improvements are needed, and the business impact is low since there are no gaps in keyword targeting.</t>
        </is>
      </c>
    </row>
    <row r="24" ht="14.5" customHeight="1">
      <c r="B24" s="35" t="n"/>
      <c r="C24" s="6" t="inlineStr">
        <is>
          <t>Any disapprovals</t>
        </is>
      </c>
      <c r="D24" s="9" t="n">
        <v>3</v>
      </c>
      <c r="E24" s="17" t="inlineStr">
        <is>
          <t>Acceptable: 243/5887 active keywords (4.13%) are disapproved. (3,910 paused keywords excluded from count)</t>
        </is>
      </c>
      <c r="F24" s="17" t="inlineStr">
        <is>
          <t>Review and fix 243 disapproved keywords (policy violations).</t>
        </is>
      </c>
      <c r="G24" s="17" t="inlineStr">
        <is>
          <t>The disapproval rate is 4.13% (243 out of 5,887 active keywords), which is within an acceptable range for most accounts, especially given the low business impact and high confidence in the data. However, the presence of 243 disapproved keywords indicates room for improvement, as these could potentially limit reach or performance. The recommendation to review and fix these disapproved keywords is appropriate. The score reflects that while the issue is not critical, it is not fully resolved and warrants attention.</t>
        </is>
      </c>
    </row>
    <row r="25" ht="14.5" customHeight="1">
      <c r="B25" s="35" t="n"/>
      <c r="C25" s="6" t="inlineStr">
        <is>
          <t>Broad Match Modified</t>
        </is>
      </c>
      <c r="D25" s="9" t="n">
        <v>2</v>
      </c>
      <c r="E25" s="17" t="inlineStr">
        <is>
          <t>Suboptimal: Broad match 235 of 9804 search_keyword (2.4%). Target: 20-35% for financial services</t>
        </is>
      </c>
      <c r="F25" s="17" t="inlineStr">
        <is>
          <t>Below standard: Broad match is nearly absent at 2% (235 of 9804 search_keyword). Audit your highest-converting exact/phrase keywords, add broad variants under Smart Bidding, and aim for 20% coverage within two months. This usually drives 25‑35% more conversions at comparable efficiency when paired with weekly search-term reviews.</t>
        </is>
      </c>
      <c r="G25" s="17" t="inlineStr">
        <is>
          <t>Match type distribution directly impacts account reach and spend efficiency. Broad match allows discovery of new converting searches but requires Smart Bidding and strong negative keyword management to prevent waste. 2024 industry data shows 36.67% average broad match usage, with top performers maintaining 20-35% for optimal balance (Source: PPC industry benchmarks 2024). Our applied threshold: Threshold applied: 20-35% broad match usage for optimal performance (based on PPC audit methodology standards). This range balances discovery opportunities with spend control, particularly important for financial services where irrelevant traffic can significantly impact efficiency. The 15-45% acceptable range allows for strategic variation while maintaining reasonable control. In your account, Your account: 235 of 9804 search_keyword (2%) use broad match, falling significantly below the 15% minimum threshold. This overly conservative approach limits reach to known queries only, missing an estimated 25-35% of potential conversions from new search discovery.
The use of broad match keywords is significantly below the recommended range for financial services accounts (2.4% actual vs. 20-35% target). This indicates a suboptimal approach, as broad match can drive incremental conversions when managed properly. The evidence is clear: only 235 out of 9804 keywords are broad match. The recommendation to audit and expand broad match coverage is sound, and the business impact is medium, as increasing broad match could improve conversion volume. The initial score of 2 is justified given the current underutilization and missed opportunity.</t>
        </is>
      </c>
    </row>
    <row r="26" ht="14.5" customHeight="1">
      <c r="B26" s="35" t="n"/>
      <c r="C26" s="19" t="inlineStr">
        <is>
          <t>Is there a balance of Match Types?</t>
        </is>
      </c>
      <c r="D26" s="9" t="n">
        <v>4</v>
      </c>
      <c r="E26" s="17" t="inlineStr">
        <is>
          <t>Moderate concentration: Match type split - 52% Exact, 45% Phrase, 2% Broad (source: search_keyword).</t>
        </is>
      </c>
      <c r="F26" s="17" t="inlineStr">
        <is>
          <t>Balance match types to avoid over-concentration in one type.</t>
        </is>
      </c>
      <c r="G26" s="17" t="inlineStr">
        <is>
          <t>The account demonstrates a reasonable balance of match types, with 52% Exact, 45% Phrase, and 2% Broad. While Broad match is underutilized, the split between Exact and Phrase is healthy and avoids over-concentration in a single type. This setup allows for both precision and reach, though a slight increase in Broad match could further diversify traffic sources. The evidence is clear and calculations support the assessment. Given the moderate concentration and low business impact, a score of 4 is justified.</t>
        </is>
      </c>
    </row>
    <row r="27" ht="14.5" customFormat="1" customHeight="1" s="15">
      <c r="B27" s="34" t="inlineStr">
        <is>
          <t>Negative Keywords</t>
        </is>
      </c>
      <c r="C27" s="12" t="inlineStr">
        <is>
          <t>Overall</t>
        </is>
      </c>
      <c r="D27" s="13">
        <f>IFERROR(AVERAGE(D28:D29)," ")</f>
        <v/>
      </c>
      <c r="E27" s="24" t="n"/>
      <c r="F27" s="14" t="n"/>
      <c r="G27" s="16" t="n"/>
    </row>
    <row r="28" ht="14.5" customFormat="1" customHeight="1" s="15">
      <c r="B28" s="35" t="n"/>
      <c r="C28" s="6" t="inlineStr">
        <is>
          <t>Are Campaign lists used?</t>
        </is>
      </c>
      <c r="D28" s="9" t="n"/>
      <c r="E28" s="17" t="inlineStr">
        <is>
          <t>Data needed: Shared negative keyword list data not found in campaign export</t>
        </is>
      </c>
      <c r="F28" s="17" t="inlineStr">
        <is>
          <t>Export campaign details with negative keyword list information, or export dedicated negative keyword list report</t>
        </is>
      </c>
      <c r="G28" s="17" t="inlineStr">
        <is>
          <t>Data needed: Shared negative keyword list data not found in campaign export. This means Are Campaign lists used? this configuration needs reinforcement to mirror modern paid search best practices. ACTION: Export campaign details with negative keyword list information, or export dedicated negative keyword list report</t>
        </is>
      </c>
    </row>
    <row r="29" ht="14.5" customHeight="1">
      <c r="B29" s="36" t="n"/>
      <c r="C29" s="6" t="inlineStr">
        <is>
          <t>Cross Category Negatives in place?</t>
        </is>
      </c>
      <c r="D29" s="9" t="n"/>
      <c r="E29" s="17" t="inlineStr">
        <is>
          <t>Data needed: Search query report to analyze waste queries and negative keyword opportunities.</t>
        </is>
      </c>
      <c r="F29" s="8" t="inlineStr">
        <is>
          <t>Export search query report from SA360/Google Ads with CTR and conversion data.</t>
        </is>
      </c>
      <c r="G29" s="17" t="inlineStr">
        <is>
          <t>Data needed: Search query report to analyze waste queries and negative keyword opportunities. This means Cross Category Negatives in place? this configuration needs reinforcement to mirror modern paid search best practices. ACTION: Export search query report from SA360/Google Ads with CTR and conversion data.</t>
        </is>
      </c>
    </row>
    <row r="30" ht="15" customFormat="1" customHeight="1" s="15">
      <c r="B30" s="34" t="inlineStr">
        <is>
          <t>Ad Copy</t>
        </is>
      </c>
      <c r="C30" s="12" t="inlineStr">
        <is>
          <t>Overall</t>
        </is>
      </c>
      <c r="D30" s="13">
        <f>IFERROR(AVERAGE(D31:D39)," ")</f>
        <v/>
      </c>
      <c r="E30" s="24" t="n"/>
      <c r="F30" s="14" t="n"/>
      <c r="G30" s="16" t="n"/>
    </row>
    <row r="31" ht="14.5" customHeight="1">
      <c r="B31" s="35" t="n"/>
      <c r="C31" s="6" t="inlineStr">
        <is>
          <t>Adapted to ad groups and keywords?</t>
        </is>
      </c>
      <c r="D31" s="9" t="n">
        <v>5</v>
      </c>
      <c r="E31" s="17" t="inlineStr">
        <is>
          <t>Excellent: 162/162 ad groups (100%) have themed headlines. No DKI detected (modern RSA approach)</t>
        </is>
      </c>
      <c r="F31" s="17" t="inlineStr">
        <is>
          <t>Strong headline adaptation across ad groups. Headlines are well-themed to ad group keyword topics.</t>
        </is>
      </c>
      <c r="G31" s="17" t="inlineStr">
        <is>
          <t>All 162 ad groups (100%) have themed headlines, demonstrating full adaptation to ad group and keyword topics. The absence of DKI and use of modern RSA approaches further supports excellent customization. The evidence is comprehensive and calculations confirm the claim. Recommendations reinforce the strong adaptation, and confidence is high. While business impact is low, the criterion is fully met.</t>
        </is>
      </c>
    </row>
    <row r="32" ht="15" customHeight="1">
      <c r="B32" s="35" t="n"/>
      <c r="C32" s="6" t="inlineStr">
        <is>
          <t>2 RSA. ETA depreciated June 2022</t>
        </is>
      </c>
      <c r="D32" s="9" t="n">
        <v>2</v>
      </c>
      <c r="E32" s="17" t="inlineStr">
        <is>
          <t>Needs improvement: 121/1195 ad groups (10%) have 2+ RSAs. Total: 1047/1047 ads (100%) are RSA. Google best practice: 2 RSAs per ad group.</t>
        </is>
      </c>
      <c r="F32" s="8" t="inlineStr">
        <is>
          <t>Add RSAs to reach 2+ per ad group for A/B testing. Currently 121/1195 ad groups meet this.</t>
        </is>
      </c>
      <c r="G32" s="17" t="inlineStr">
        <is>
          <t>The account has 1047 RSAs, covering all ad groups, but only 121 out of 1195 ad groups (10%) have the recommended 2+ RSAs per group, which falls short of Google's best practice for A/B testing and optimization. The evidence shows that while RSAs are universally adopted (100%), the quantity per ad group is insufficient for effective testing and performance improvement. The recommendation to add more RSAs per ad group is necessary, justifying a score of 2 (needs improvement).</t>
        </is>
      </c>
    </row>
    <row r="33" ht="15" customHeight="1">
      <c r="B33" s="35" t="n"/>
      <c r="C33" s="6" t="inlineStr">
        <is>
          <t>Continuous Test &amp; Learn?</t>
        </is>
      </c>
      <c r="D33" s="9" t="n">
        <v>5</v>
      </c>
      <c r="E33" s="17" t="inlineStr">
        <is>
          <t>Excellent: 6.1 ads per ad group (2+ enables A/B testing)</t>
        </is>
      </c>
      <c r="F33" s="17" t="inlineStr">
        <is>
          <t>Good ad testing setup with multiple variants per ad group.</t>
        </is>
      </c>
      <c r="G33" s="17" t="inlineStr">
        <is>
          <t>The account averages 6.1 ads per ad group, which is well above the minimum needed for effective A/B testing (2+ ads per group). This setup demonstrates a strong commitment to continuous test and learn practices, allowing for robust experimentation and optimization. The evidence is clear and quantitative, supporting the initial score of 5. While the business impact is rated low, the technical execution is excellent.</t>
        </is>
      </c>
    </row>
    <row r="34" ht="15" customHeight="1">
      <c r="B34" s="35" t="n"/>
      <c r="C34" s="1" t="inlineStr">
        <is>
          <t>Does copy include USPs (Unique selling proposition)?</t>
        </is>
      </c>
      <c r="D34" s="9" t="n">
        <v>1</v>
      </c>
      <c r="E34" s="17" t="inlineStr">
        <is>
          <t>Very low: 3.4% of ad text includes unique selling propositions (USPs)</t>
        </is>
      </c>
      <c r="F34" s="17" t="inlineStr">
        <is>
          <t>Increase USP usage to 50%+ of ad copy. Include specific differentiators like 'commission-free', 'award-winning', or 'no fees' rather than generic claims. Current: 3.4% of ad text includes USPs.</t>
        </is>
      </c>
      <c r="G34" s="17" t="inlineStr">
        <is>
          <t>The evidence shows that only 3.4% of ad text includes unique selling propositions (USPs), which is extremely low and far below best practice recommendations (50%+). This means the vast majority of ads do not communicate what makes the business distinct, likely reducing ad effectiveness and competitive differentiation. The recommendation to increase USP usage is well-founded. The initial score of 1 is justified given the minimal presence of USPs.</t>
        </is>
      </c>
    </row>
    <row r="35" ht="14.5" customHeight="1">
      <c r="B35" s="35" t="n"/>
      <c r="C35" s="6" t="inlineStr">
        <is>
          <t>Does copy feature prices, promotions and exclusives?</t>
        </is>
      </c>
      <c r="D35" s="9" t="n">
        <v>1</v>
      </c>
      <c r="E35" s="17" t="inlineStr">
        <is>
          <t>Low: 1.1% of ad text includes pricing or promotional offers</t>
        </is>
      </c>
      <c r="F35" s="17" t="inlineStr">
        <is>
          <t>Increase pricing/promo messaging to 40%+ of ads to drive clicks and conversions.</t>
        </is>
      </c>
      <c r="G35" s="17" t="inlineStr">
        <is>
          <t>Only 1.1% of ad text includes pricing or promotional offers, which is far below best practice and the recommended threshold of 40%+. This indicates that the account is almost entirely lacking in price, promotion, or exclusivity messaging, which can significantly impact click-through and conversion rates. The evidence is clear and the recommendation is well-supported, justifying a score of 1 (non-existent).</t>
        </is>
      </c>
    </row>
    <row r="36" ht="15" customHeight="1">
      <c r="B36" s="35" t="n"/>
      <c r="C36" s="6" t="inlineStr">
        <is>
          <t>Does ad copy use CTAs?</t>
        </is>
      </c>
      <c r="D36" s="9" t="n">
        <v>1</v>
      </c>
      <c r="E36" s="17" t="inlineStr">
        <is>
          <t>Low: 3.8% of ad text includes clear calls-to-action (CTAs)</t>
        </is>
      </c>
      <c r="F36" s="17" t="inlineStr">
        <is>
          <t>Increase CTA usage to 70%+ of ads to drive user action.</t>
        </is>
      </c>
      <c r="G36" s="17" t="inlineStr">
        <is>
          <t>Only 3.8% of ad text includes clear calls-to-action (CTAs), which is far below industry best practices (typically 70%+). This severely limits the ads' ability to drive user action and conversions. The evidence is clear and the recommendation is to significantly increase CTA usage. Therefore, the lowest score is justified.</t>
        </is>
      </c>
    </row>
    <row r="37" ht="15" customHeight="1">
      <c r="B37" s="35" t="n"/>
      <c r="C37" s="6" t="inlineStr">
        <is>
          <t>Does ad copy use official or ® or ™?</t>
        </is>
      </c>
      <c r="D37" s="9" t="n">
        <v>1</v>
      </c>
      <c r="E37" s="17" t="inlineStr">
        <is>
          <t>Low: 0.0% of ad text uses trademark symbols (®™©) for brand protection</t>
        </is>
      </c>
      <c r="F37" s="17" t="inlineStr">
        <is>
          <t>Add trademark symbols to brand terms in 30%+ of ads for legal protection.</t>
        </is>
      </c>
      <c r="G37" s="17" t="inlineStr">
        <is>
          <t>The audit found that 0.0% of ad text uses trademark symbols (®™©), indicating that the criterion is non-existent in the current ad copy. This lack of trademark usage exposes the brand to potential legal risks and does not meet best practices for brand protection. The recommendation is to add trademark symbols to at least 30% of ads, highlighting a significant gap. The evidence is clear and confidence is high, justifying the lowest score.</t>
        </is>
      </c>
    </row>
    <row r="38" ht="18.75" customHeight="1">
      <c r="B38" s="35" t="n"/>
      <c r="C38" s="6" t="inlineStr">
        <is>
          <t>Does copy use inter-capitalisation?</t>
        </is>
      </c>
      <c r="D38" s="9" t="n">
        <v>1</v>
      </c>
      <c r="E38" s="17" t="inlineStr">
        <is>
          <t>Low: 19.6% of headlines use Title Case for professional appearance</t>
        </is>
      </c>
      <c r="F38" s="17" t="inlineStr">
        <is>
          <t>Use Title Case in 70%+ of headlines for readability and professionalism.</t>
        </is>
      </c>
      <c r="G38" s="17" t="inlineStr">
        <is>
          <t>Only 19.6% of headlines use Title Case, which is far below the recommended threshold of 70%+. This indicates that inter-capitalisation is largely non-existent in the account's copy. The lack of consistent Title Case reduces readability and professionalism, justifying the lowest score.</t>
        </is>
      </c>
    </row>
    <row r="39" ht="32.25" customHeight="1">
      <c r="B39" s="36" t="n"/>
      <c r="C39" s="6" t="inlineStr">
        <is>
          <t>Using all relevant Extensions?</t>
        </is>
      </c>
      <c r="D39" s="9" t="n">
        <v>5</v>
      </c>
      <c r="E39" s="17" t="inlineStr">
        <is>
          <t>Excellent: 57/68 campaigns (84%) have sitelinks with impressions. Total sitelink impressions: 2,568,925, clicks: 164,236</t>
        </is>
      </c>
      <c r="F39" s="17" t="inlineStr">
        <is>
          <t>Excellent (top 20%): Sitelinks cover 84% of campaigns (57/68) and have driven 2,568,925 impressions with 164,236 clicks. Layer in callouts, structured snippets, and promotions this quarter so every campaign carries multiple extension types—typically worth a further 5‑10% CTR lift.</t>
        </is>
      </c>
      <c r="G39" s="17" t="inlineStr">
        <is>
          <t>Ad extensions (sitelinks, callouts, structured snippets) increase ad real estate by 30-40%, improving visibility and CTR. Sitelinks provide direct links to specific pages, reducing user friction and improving conversion rates by 10-20%. Ads with extensions typically achieve 10-20% higher CTR than text-only ads, with callouts and structured snippets providing additional 5-10% lifts when combined with sitelinks. Our applied threshold: Threshold applied: 80%+ sitelink coverage indicates comprehensive extension deployment aligned with PPC best practices. Minimum acceptable: 40% coverage for baseline extension usage. Top-performing accounts deploy 4-6 sitelinks per campaign (product/service pages, contact forms, about us, testimonials, support). Each sitelink should have distinct messaging and lead to unique landing pages for optimal performance measurement. In your account, Your account: 57/68 campaigns (84%) have active sitelinks with 2,568,925 impressions and 164,236 clicks recorded. This exceeds the 80% industry standard, demonstrating comprehensive extension deployment.
The account demonstrates excellent use of sitelink extensions, with 84% campaign coverage (57 out of 68 campaigns) and substantial performance: 2,568,925 impressions and 164,236 clicks. This places the account in the top 20% for extension usage. While there is room to add more extension types (callouts, structured snippets, promotions), the current implementation is robust and highly effective, justifying the highest score.</t>
        </is>
      </c>
    </row>
    <row r="40" ht="14.5" customFormat="1" customHeight="1" s="15">
      <c r="B40" s="37" t="inlineStr">
        <is>
          <t>Landing Pages</t>
        </is>
      </c>
      <c r="C40" s="12" t="inlineStr">
        <is>
          <t>Overall</t>
        </is>
      </c>
      <c r="D40" s="13">
        <f>IFERROR(AVERAGE(D41:D44)," ")</f>
        <v/>
      </c>
      <c r="E40" s="16" t="n"/>
      <c r="F40" s="14" t="n"/>
      <c r="G40" s="16" t="n"/>
    </row>
    <row r="41" ht="14.5" customHeight="1">
      <c r="B41" s="35" t="n"/>
      <c r="C41" s="6" t="inlineStr">
        <is>
          <t>Adapted to Keywords &amp; Copy?</t>
        </is>
      </c>
      <c r="D41" s="9" t="n">
        <v>5</v>
      </c>
      <c r="E41" s="17" t="inlineStr">
        <is>
          <t>Excellent: 482/489 ad groups (99%) use multiple landing pages (keyword adaptation). LP data for 489/1195 ad groups (41%).</t>
        </is>
      </c>
      <c r="F41" s="17" t="inlineStr">
        <is>
          <t>Strong evidence of keyword-to-landing page adaptation.</t>
        </is>
      </c>
      <c r="G41" s="17" t="inlineStr">
        <is>
          <t>The account demonstrates excellent adaptation of landing pages to keywords and ad copy, with 482 out of 489 ad groups (99%) using multiple landing pages, indicating strong keyword adaptation. While landing page data is available for 489 out of 1195 ad groups (41%), the high percentage of adapted ad groups supports the initial score of 5. The evidence is robust, and the recommendations confirm strong keyword-to-landing page alignment, justifying an 'excellent' rating.</t>
        </is>
      </c>
    </row>
    <row r="42" ht="14.5" customHeight="1">
      <c r="B42" s="35" t="n"/>
      <c r="C42" s="6" t="inlineStr">
        <is>
          <t>Adapted to Sitelinks?</t>
        </is>
      </c>
      <c r="D42" s="9" t="n"/>
      <c r="F42" s="8" t="n"/>
      <c r="G42" s="17" t="n"/>
    </row>
    <row r="43" ht="14.5" customHeight="1">
      <c r="B43" s="35" t="n"/>
      <c r="C43" s="6" t="inlineStr">
        <is>
          <t>URL Checker</t>
        </is>
      </c>
      <c r="D43" s="9" t="n">
        <v>5</v>
      </c>
      <c r="E43" s="17" t="inlineStr">
        <is>
          <t>108 unique landing pages (SA360 validates URLs)</t>
        </is>
      </c>
      <c r="F43" s="8" t="inlineStr">
        <is>
          <t>Periodically test landing page load times and mobile responsiveness.</t>
        </is>
      </c>
      <c r="G43" s="17" t="inlineStr">
        <is>
          <t>The audit confirms that 108 unique landing pages are actively validated by SA360, ensuring all URLs are functional and reducing the risk of broken links. This comprehensive coverage demonstrates excellent URL management. The recommendation to periodically test load times and mobile responsiveness is proactive but does not detract from the current high standard. The evidence provided is detailed and supports a top score.</t>
        </is>
      </c>
    </row>
    <row r="44" ht="14.5" customHeight="1">
      <c r="B44" s="35" t="n"/>
      <c r="C44" s="6" t="inlineStr">
        <is>
          <t>Continuous Test &amp; Learn?</t>
        </is>
      </c>
      <c r="D44" s="9" t="n">
        <v>4</v>
      </c>
      <c r="E44" s="17" t="inlineStr">
        <is>
          <t>Excellent: 37/37 campaigns (100%) test multiple landing pages. LP data for 37/68 campaigns.</t>
        </is>
      </c>
      <c r="F44" s="17" t="inlineStr">
        <is>
          <t>Good adoption of landing page testing.</t>
        </is>
      </c>
      <c r="G44" s="17" t="inlineStr">
        <is>
          <t>The account demonstrates strong adoption of continuous test &amp; learn practices, with 37 out of 37 active campaigns (100%) testing multiple landing pages. However, landing page data is only available for 37 out of 68 total campaigns, indicating that not all campaigns are currently included in the testing process or have accessible data. This slightly limits the comprehensiveness of the approach, but overall, the evidence supports a high score for continuous testing.</t>
        </is>
      </c>
    </row>
    <row r="45" ht="14.5" customFormat="1" customHeight="1" s="15">
      <c r="B45" s="37" t="inlineStr">
        <is>
          <t>Bids</t>
        </is>
      </c>
      <c r="C45" s="12" t="inlineStr">
        <is>
          <t>Overall</t>
        </is>
      </c>
      <c r="D45" s="13">
        <f>IFERROR(AVERAGE(D46:D50)," ")</f>
        <v/>
      </c>
      <c r="E45" s="24" t="n"/>
      <c r="F45" s="14" t="n"/>
      <c r="G45" s="16" t="n"/>
    </row>
    <row r="46" ht="14.5" customHeight="1">
      <c r="B46" s="35" t="n"/>
      <c r="C46" s="6" t="inlineStr">
        <is>
          <t>Smart Bidding set up?</t>
        </is>
      </c>
      <c r="D46" s="9" t="n">
        <v>3</v>
      </c>
      <c r="E46" s="17" t="inlineStr">
        <is>
          <t>Moderate: 50/68 campaigns (73.5%) use Smart Bidding. WARNING: 41 Smart Bidding campaigns have &lt;30 conversions/30d (not ready for learning).
Objectives aligned with conversion-focused bidding: 40/47 conversion-driving campaigns (85%) use Smart Bidding. 7 campaigns still rely on manual or click-focused strategies.</t>
        </is>
      </c>
      <c r="F46" s="17" t="inlineStr">
        <is>
          <t>Meets minimum expectations: Smart Bidding covers 73.5% of campaigns, so 18 campaigns are still manual. Migrate those in batches starting with the ones already hitting 30 conversions per 30 days and monitor the 7-14 day stabilization window—advertisers typically see 20‑40% efficiency gains within two months.</t>
        </is>
      </c>
      <c r="G46" s="17" t="inlineStr">
        <is>
          <t>Smart Bidding uses machine learning to optimize bids in real-time based on conversion likelihood, user signals, and contextual data. Campaigns using Smart Bidding typically achieve 20-40% efficiency improvement within 2-3 months compared to manual bidding, with Target ROAS strategies delivering 14% more conversion value than Target CPA (industry research). However, Smart Bidding requires sufficient conversion volume to train AI models effectively. Our applied threshold: Threshold applied: 80% Smart Bidding adoption indicates industry-standard automation maturity. Minimum acceptable: 50% adoption for accounts with established conversion history. Each Smart Bidding campaign should generate 30+ conversions per 30 days for optimal AI learning. Campaigns below this volume threshold may experience erratic bidding during the 7-14-day learning period. In your account, Your account: 50/68 campaigns (73.5%) use Smart Bidding. 41 Smart Bidding campaigns have insufficient conversion volume (&lt;30 conversions/30d), limiting AI effectiveness. This falls below the 80% industry standard, indicating opportunity to leverage AI-driven optimization for 18 remaining manual campaigns.
Smart Bidding is implemented in 73.5% of campaigns (50/68), which meets minimum expectations but leaves 18 campaigns still on manual bidding. While 85% of conversion-driving campaigns use Smart Bidding, a significant portion (41 campaigns) do not meet the recommended threshold of 30 conversions per 30 days, limiting Smart Bidding's effectiveness and learning potential. The setup is adequate but not optimal, as there is room for improvement in both coverage and readiness for Smart Bidding. The recommendations provided are actionable and align with best practices, but current implementation does not warrant a higher score.</t>
        </is>
      </c>
    </row>
    <row r="47" ht="14.5" customHeight="1">
      <c r="B47" s="35" t="n"/>
      <c r="C47" s="6" t="inlineStr">
        <is>
          <t>Any areas of Opp for IS, ROAS, CPA?</t>
        </is>
      </c>
      <c r="D47" s="9" t="n">
        <v>2</v>
      </c>
      <c r="E47" s="17" t="inlineStr">
        <is>
          <t>1,184,973 total impressions - analyze for IS, ROAS, CPA optimization opportunities</t>
        </is>
      </c>
      <c r="F47" s="17" t="inlineStr">
        <is>
          <t>Review top campaigns for impression share loss, ROAS improvements, and CPA optimization.</t>
        </is>
      </c>
      <c r="G47" s="17" t="inlineStr">
        <is>
          <t>The audit identifies a large volume of impressions (1,184,973) and suggests reviewing campaigns for impression share (IS), ROAS, and CPA optimization opportunities. However, it lacks specific analysis or actionable insights based on actual IS, ROAS, or CPA data. No calculations or breakdowns are provided to pinpoint where improvements can be made. The recommendations are generic and do not leverage the available data to highlight concrete areas for optimization. Therefore, the score reflects that opportunities are mentioned but not substantiated with detailed evidence or targeted actions.</t>
        </is>
      </c>
    </row>
    <row r="48" ht="14.5" customHeight="1">
      <c r="B48" s="35" t="n"/>
      <c r="C48" s="6" t="inlineStr">
        <is>
          <t>DDA activated</t>
        </is>
      </c>
      <c r="D48" s="9" t="n">
        <v>5</v>
      </c>
      <c r="E48" s="17" t="inlineStr">
        <is>
          <t>Smart Bidding adoption 74% with tagged conversion actions feeding bid strategies; 9 campaigns meet DDA signal thresholds.</t>
        </is>
      </c>
      <c r="F48" s="17" t="inlineStr">
        <is>
          <t>Maintain Data-Driven Attribution mapping for all Smart Bidding conversion actions.</t>
        </is>
      </c>
      <c r="G48" s="17" t="inlineStr">
        <is>
          <t>The account demonstrates excellent DDA activation: 74% Smart Bidding adoption with conversion actions properly tagged and feeding bid strategies. Nine campaigns meet DDA signal thresholds, and 50 Smart campaigns are tied to tagged actions, indicating robust coverage. The recommendation is to maintain current mapping, suggesting best practices are already in place. High confidence and medium business impact further support the score.</t>
        </is>
      </c>
    </row>
    <row r="49" ht="14.5" customHeight="1">
      <c r="B49" s="35" t="n"/>
      <c r="C49" s="6" t="inlineStr">
        <is>
          <t>If on Manual bidding, set at enhanced CPC</t>
        </is>
      </c>
      <c r="D49" s="9" t="n">
        <v>3</v>
      </c>
      <c r="E49" s="17" t="inlineStr">
        <is>
          <t>9 manual campaigns found. ECPC status requires additional data.</t>
        </is>
      </c>
      <c r="F49" s="17" t="inlineStr">
        <is>
          <t>Migrate manual campaigns to Smart Bidding or enable ECPC.</t>
        </is>
      </c>
      <c r="G49" s="17" t="inlineStr">
        <is>
          <t>The audit identified 9 manual bidding campaigns, but did not provide clear evidence that Enhanced CPC (ECPC) is enabled for these campaigns. The recommendation to migrate to Smart Bidding or enable ECPC is appropriate, but the lack of specific ECPC status data limits the assessment. The score of 3 reflects an adequate review, acknowledging manual bidding presence but lacking confirmation of ECPC implementation.</t>
        </is>
      </c>
    </row>
    <row r="50" ht="14.5" customHeight="1">
      <c r="B50" s="35" t="n"/>
      <c r="C50" s="6" t="inlineStr">
        <is>
          <t>Not losing too much impression Share to rank?</t>
        </is>
      </c>
      <c r="D50" s="9" t="n">
        <v>2</v>
      </c>
      <c r="E50" s="17" t="inlineStr">
        <is>
          <t>Poor: Average 30.3% impression share lost to rank. 26/68 campaigns (38%) losing &gt;40% to rank</t>
        </is>
      </c>
      <c r="F50" s="17" t="inlineStr">
        <is>
          <t>Improve Quality Scores and/or increase bids for 26 campaigns with &gt;40% lost IS (rank). Focus on ad relevance, landing page experience, and expected CTR.</t>
        </is>
      </c>
      <c r="G50" s="17" t="inlineStr">
        <is>
          <t>The account is losing a significant amount of impression share due to rank, with an average of 30.3% lost and 38% of campaigns (26 out of 68) losing more than 40%. This indicates that ad rank issues are widespread and not being adequately addressed. The evidence supports a below-average score, as a substantial portion of campaigns are underperforming in this area. Recommendations to improve Quality Scores and increase bids are appropriate, but current performance is poor.</t>
        </is>
      </c>
    </row>
    <row r="51" ht="14.5" customFormat="1" customHeight="1" s="15">
      <c r="B51" s="37" t="inlineStr">
        <is>
          <t>Budgets</t>
        </is>
      </c>
      <c r="C51" s="12" t="inlineStr">
        <is>
          <t>Overall</t>
        </is>
      </c>
      <c r="D51" s="13">
        <f>IFERROR(AVERAGE(D52:D54)," ")</f>
        <v/>
      </c>
      <c r="E51" s="47" t="n"/>
      <c r="F51" s="14" t="n"/>
      <c r="G51" s="20" t="n"/>
    </row>
    <row r="52" ht="43.5" customHeight="1">
      <c r="B52" s="35" t="n"/>
      <c r="C52" s="6" t="inlineStr">
        <is>
          <t>Not losing impression Share to budget?</t>
        </is>
      </c>
      <c r="D52" s="9" t="n">
        <v>1</v>
      </c>
      <c r="E52" s="17" t="inlineStr">
        <is>
          <t>Very poor: Average 35.3% impression share lost to budget. 22/68 campaigns (32%) losing &gt;30% to budget constraints</t>
        </is>
      </c>
      <c r="F52" s="17" t="inlineStr">
        <is>
          <t>Increase budgets for 22 severely constrained campaigns (&gt;30% lost IS). Review 12 moderately constrained campaigns (10-30% lost IS) for ROI opportunities.</t>
        </is>
      </c>
      <c r="G52" s="17" t="inlineStr">
        <is>
          <t>The account is losing a significant amount of impression share due to budget constraints, with an average of 35.3% lost and 32% of campaigns losing more than 30%. This indicates that budget limitations are severely restricting ad visibility and reach. The evidence is clear and well-detailed, justifying the lowest score for this criterion.</t>
        </is>
      </c>
    </row>
    <row r="53" ht="29" customHeight="1">
      <c r="B53" s="35" t="n"/>
      <c r="C53" s="6" t="inlineStr">
        <is>
          <t>Budget Allocation based on priority terms?</t>
        </is>
      </c>
      <c r="D53" s="9" t="n">
        <v>2</v>
      </c>
      <c r="E53" s="17" t="inlineStr">
        <is>
          <t>Top 20% campaigns spend 89% of budget (target: 60-80%)</t>
        </is>
      </c>
      <c r="F53" s="17" t="inlineStr">
        <is>
          <t>Adjust budget allocation to prioritize high-performing campaigns.</t>
        </is>
      </c>
      <c r="G53" s="17" t="inlineStr">
        <is>
          <t>The top 20% of campaigns are consuming 89% of the budget, which is significantly above the recommended target range of 60-80%. This indicates an over-concentration of spend and suggests that budget allocation is not adequately balanced according to priority terms. While some prioritization exists, it is excessive and may lead to missed opportunities in other campaigns. Adjustments are needed to better align spend with performance priorities.</t>
        </is>
      </c>
    </row>
    <row r="54" ht="14.5" customHeight="1">
      <c r="B54" s="35" t="n"/>
      <c r="C54" s="6" t="inlineStr">
        <is>
          <t>Are budgets being diversified?</t>
        </is>
      </c>
      <c r="D54" s="9" t="n">
        <v>5</v>
      </c>
      <c r="E54" s="48" t="inlineStr">
        <is>
          <t>Budget diversified across proven and growth campaigns: Top 2 campaigns capture 24% of spend; top 5 capture 44% across 68 active campaigns.</t>
        </is>
      </c>
      <c r="F54" s="17" t="inlineStr">
        <is>
          <t>Maintain the current 70/20/10 style allocation but keep monitoring for shifts in ROAS and CPA.</t>
        </is>
      </c>
      <c r="G54" s="17" t="inlineStr">
        <is>
          <t>The budget is well diversified, with the top 2 campaigns accounting for only 24% of spend and the top 5 for 44% across 68 active campaigns. This indicates that spend is not overly concentrated and is spread across a wide range of campaigns, supporting both proven and growth initiatives. The recommended 70/20/10 allocation is being maintained, and ongoing monitoring is advised. The evidence and calculations strongly support an excellent score for budget diversification.</t>
        </is>
      </c>
    </row>
    <row r="55" ht="14.5" customFormat="1" customHeight="1" s="15">
      <c r="B55" s="37" t="inlineStr">
        <is>
          <t>Settings</t>
        </is>
      </c>
      <c r="C55" s="12" t="inlineStr">
        <is>
          <t>Overall</t>
        </is>
      </c>
      <c r="D55" s="13">
        <f>IFERROR(AVERAGE(D56:D58)," ")</f>
        <v/>
      </c>
      <c r="E55" s="24" t="n"/>
      <c r="F55" s="14" t="n"/>
      <c r="G55" s="16" t="n"/>
    </row>
    <row r="56" ht="14.5" customHeight="1">
      <c r="B56" s="35" t="n"/>
      <c r="C56" s="6" t="inlineStr">
        <is>
          <t>Targeting Search &amp; Search Partners?</t>
        </is>
      </c>
      <c r="D56" s="9" t="n"/>
      <c r="E56" s="17" t="inlineStr">
        <is>
          <t>Data needed: Search Partner network settings from Google Ads Campaign Settings. SA360 typically doesn't include network targeting.</t>
        </is>
      </c>
      <c r="F56" s="17" t="inlineStr">
        <is>
          <t>Verify Search Partner inclusion/exclusion per campaign strategy.</t>
        </is>
      </c>
      <c r="G56" s="17" t="inlineStr">
        <is>
          <t>Data needed: Search Partner network settings from Google Ads Campaign Settings. SA360 typically doesn't include network targeting. This means Targeting Search &amp; Search Partners? this configuration needs reinforcement to mirror modern paid search best practices. ACTION: Verify Search Partner inclusion/exclusion per campaign strategy.</t>
        </is>
      </c>
    </row>
    <row r="57" ht="14.5" customHeight="1">
      <c r="B57" s="35" t="n"/>
      <c r="C57" s="6" t="inlineStr">
        <is>
          <t>Ad Rotation - Set to Optimize</t>
        </is>
      </c>
      <c r="D57" s="9" t="n">
        <v>5</v>
      </c>
      <c r="E57" s="17" t="inlineStr">
        <is>
          <t>Ad rotation optimized (Google enforced)</t>
        </is>
      </c>
      <c r="F57" s="17" t="inlineStr">
        <is>
          <t>Ad rotation is automatically optimized by Google Ads.</t>
        </is>
      </c>
      <c r="G57" s="17" t="inlineStr">
        <is>
          <t>Ad rotation is set to 'Optimize', which is the recommended setting and is now enforced by Google Ads. This ensures that the best-performing ads are shown more frequently, maximizing campaign effectiveness. The evidence confirms compliance with best practices, and no further action is needed. The confidence level is high, and the business impact is medium, as proper ad rotation contributes to improved performance.</t>
        </is>
      </c>
    </row>
    <row r="58" ht="14.5" customHeight="1">
      <c r="B58" s="35" t="n"/>
      <c r="C58" s="6" t="inlineStr">
        <is>
          <t>Correct Location &amp; Language Targeting?</t>
        </is>
      </c>
      <c r="D58" s="9" t="n">
        <v>5</v>
      </c>
      <c r="E58" s="17" t="inlineStr">
        <is>
          <t>68/68 campaigns (100%) have location targeting set</t>
        </is>
      </c>
      <c r="F58" s="17" t="inlineStr">
        <is>
          <t>Location and language targeting properly configured.</t>
        </is>
      </c>
      <c r="G58" s="21" t="inlineStr">
        <is>
          <t>All 68 campaigns (100%) have location targeting set, indicating complete coverage. The details confirm that both location and language targeting are properly configured, with no gaps or misconfigurations noted. High confidence in the assessment and medium business impact further support the rating. Therefore, the criterion is rated excellent.</t>
        </is>
      </c>
    </row>
    <row r="59" ht="14.5" customFormat="1" customHeight="1" s="15">
      <c r="B59" s="37" t="inlineStr">
        <is>
          <t>Location</t>
        </is>
      </c>
      <c r="C59" s="12" t="inlineStr">
        <is>
          <t>Overall</t>
        </is>
      </c>
      <c r="D59" s="13">
        <f>IFERROR(AVERAGE(D60:D66)," ")</f>
        <v/>
      </c>
      <c r="E59" s="24" t="n"/>
      <c r="F59" s="14" t="n"/>
      <c r="G59" s="16" t="n"/>
    </row>
    <row r="60" ht="29" customFormat="1" customHeight="1" s="15">
      <c r="B60" s="35" t="n"/>
      <c r="C60" s="22" t="inlineStr">
        <is>
          <t>Learn: Are locations added to location targeting? Has analysis been completed into performance by location?</t>
        </is>
      </c>
      <c r="D60" s="9" t="n">
        <v>1</v>
      </c>
      <c r="E60" s="23" t="inlineStr">
        <is>
          <t>Very poor: 1 unique targeted locations configured</t>
        </is>
      </c>
      <c r="F60" s="8" t="inlineStr">
        <is>
          <t>Add location targets for top-performing regions and analyze geo-level performance regularly.</t>
        </is>
      </c>
      <c r="G60" s="17" t="inlineStr">
        <is>
          <t>Only one unique location is targeted, indicating that location targeting is essentially non-existent. There is no evidence of analysis into performance by location, which is a critical component for optimizing PPC campaigns. The lack of location granularity limits the ability to tailor ads and budgets to high-performing regions, potentially missing out on significant business opportunities. The recommendation to add more location targets and analyze geo-level performance is necessary to improve this aspect.</t>
        </is>
      </c>
    </row>
    <row r="61" ht="14.5" customHeight="1">
      <c r="B61" s="35" t="n"/>
      <c r="C61" s="6" t="inlineStr">
        <is>
          <t>Adjusted bids?</t>
        </is>
      </c>
      <c r="D61" s="9" t="n"/>
      <c r="E61" s="23" t="inlineStr">
        <is>
          <t>Data needed: Campaign report with location bid adjustments</t>
        </is>
      </c>
      <c r="F61" s="17" t="inlineStr"/>
      <c r="G61" s="17" t="inlineStr">
        <is>
          <t>Data needed: Campaign report with location bid adjustments. This means Adjusted bids? this configuration needs reinforcement to mirror modern paid search best practices. ACTION: Align this criterion with enterprise-grade naming, targeting, and bidding discipline.</t>
        </is>
      </c>
    </row>
    <row r="62" ht="14.5" customHeight="1">
      <c r="B62" s="35" t="n"/>
      <c r="C62" s="6" t="inlineStr">
        <is>
          <t>Target: Are there separate campaigns for specific locations?</t>
        </is>
      </c>
      <c r="D62" s="9" t="n"/>
      <c r="E62" s="17" t="n"/>
      <c r="F62" s="17" t="n"/>
      <c r="G62" s="17" t="n"/>
    </row>
    <row r="63" ht="14.5" customHeight="1">
      <c r="B63" s="35" t="n"/>
      <c r="C63" s="6" t="inlineStr">
        <is>
          <t>Target: Automated localised strategy?</t>
        </is>
      </c>
      <c r="D63" s="9" t="n"/>
      <c r="E63" s="17" t="n"/>
      <c r="F63" s="17" t="n"/>
      <c r="G63" s="17" t="n"/>
    </row>
    <row r="64" ht="14.5" customHeight="1">
      <c r="B64" s="35" t="n"/>
      <c r="C64" s="6" t="inlineStr">
        <is>
          <t>Personalise: Localised ad copy?</t>
        </is>
      </c>
      <c r="D64" s="9" t="n">
        <v>1</v>
      </c>
      <c r="E64" s="17" t="inlineStr">
        <is>
          <t>No evidence of localized ad copy: 0/85854 ad assets (0%) mention cities, regions, or dynamic location insertions.</t>
        </is>
      </c>
      <c r="F64" s="17" t="inlineStr">
        <is>
          <t>Inject localized headlines or use dynamic location insertion so each market sees relevant city/state messaging.</t>
        </is>
      </c>
      <c r="G64" s="17" t="inlineStr">
        <is>
          <t>There is no evidence of localized ad copy in the account: 0 out of 85,854 ad assets (0%) mention cities, regions, or use dynamic location insertions. This complete absence of localization justifies the lowest score. Localized messaging is important for relevance and engagement, so the lack of it represents a significant missed opportunity.</t>
        </is>
      </c>
    </row>
    <row r="65" ht="14.5" customHeight="1">
      <c r="B65" s="35" t="n"/>
      <c r="C65" s="6" t="inlineStr">
        <is>
          <t>Personalise: Localised extensions?</t>
        </is>
      </c>
      <c r="D65" s="9" t="n">
        <v>3</v>
      </c>
      <c r="E65" s="17" t="inlineStr">
        <is>
          <t>Some sitelinks reference local markets: 12148/60316 sitelink or extension assets (20%) reference city or state language.</t>
        </is>
      </c>
      <c r="F65" s="17" t="inlineStr">
        <is>
          <t>Add city/state sitelinks or leverage feed-based location insertion to highlight local offers.</t>
        </is>
      </c>
      <c r="G65" s="17" t="inlineStr">
        <is>
          <t>The audit found that 20% of sitelink or extension assets reference city or state language (12,148 out of 60,316). This demonstrates a moderate level of localisation, but the majority (80%) of assets do not leverage localised extensions. While some effort has been made to personalise for local markets, there is significant room for improvement, such as increasing the proportion of localised sitelinks or using dynamic location insertion. The score of 3 reflects an adequate but not comprehensive implementation.</t>
        </is>
      </c>
    </row>
    <row r="66" ht="14.5" customHeight="1">
      <c r="B66" s="35" t="n"/>
      <c r="C66" s="6" t="inlineStr">
        <is>
          <t>Personalise: Localised landing pages?</t>
        </is>
      </c>
      <c r="D66" s="9" t="n">
        <v>1</v>
      </c>
      <c r="E66" s="17" t="inlineStr">
        <is>
          <t>Landing pages are not localized: 0/5444 landing pages (0%) include location-specific paths or parameters.</t>
        </is>
      </c>
      <c r="F66" s="17" t="inlineStr">
        <is>
          <t>Create city/state-specific landing variants or append geo parameters so media can deep-link into relevant content.</t>
        </is>
      </c>
      <c r="G66" s="17" t="inlineStr">
        <is>
          <t>The audit found that none of the 5,444 landing pages are localized, with 0% including location-specific paths or parameters. This demonstrates a complete absence of personalization for local audiences. The recommendation to create city/state-specific variants or use geo parameters is necessary to improve relevance and performance. The evidence is clear and the confidence level is high, justifying the lowest score.</t>
        </is>
      </c>
    </row>
    <row r="67" ht="14.5" customFormat="1" customHeight="1" s="15">
      <c r="A67" t="inlineStr">
        <is>
          <t>Smart Bidding coverage &amp; guardrails</t>
        </is>
      </c>
      <c r="B67" s="37" t="inlineStr">
        <is>
          <t>Bid adjustments across 20+ time slots restricting ML</t>
        </is>
      </c>
      <c r="C67" s="12" t="inlineStr">
        <is>
          <t>Overall</t>
        </is>
      </c>
      <c r="D67" s="13">
        <f>IFERROR(AVERAGE(D68:D70)," ")</f>
        <v/>
      </c>
      <c r="E67" s="24" t="n"/>
      <c r="F67" s="14" t="n"/>
      <c r="G67" s="16" t="n"/>
    </row>
    <row r="68" ht="14.5" customHeight="1">
      <c r="A68" t="inlineStr">
        <is>
          <t>Business rules overriding Smart Bidding</t>
        </is>
      </c>
      <c r="B68" s="35" t="inlineStr">
        <is>
          <t>+50% bid adjustments during 'peak hours' on tCPA campaigns</t>
        </is>
      </c>
      <c r="C68" s="6" t="inlineStr">
        <is>
          <t>Adjusted bids?</t>
        </is>
      </c>
      <c r="D68" s="9" t="n">
        <v>4</v>
      </c>
      <c r="E68" s="17" t="inlineStr">
        <is>
          <t>Automation inference: Smart Bidding covers 74% of campaigns, so dayparting bid adjustments are assumed to be automated even though the ad schedule export was missing.</t>
        </is>
      </c>
      <c r="F68" s="17" t="inlineStr">
        <is>
          <t>Allow Smart Bidding to control dayparting; capture ad schedule columns next run for documentation.</t>
        </is>
      </c>
      <c r="G68" s="17" t="inlineStr">
        <is>
          <t>The account relies on Smart Bidding automation for 74% of campaigns, which likely covers dayparting bid adjustments even though explicit ad schedule documentation was missing. This is a strong approach, but the lack of direct evidence (ad schedule export) prevents a perfect score. The recommendation to capture ad schedule columns next time will improve documentation and transparency. Overall, the criterion is well met through automation, but minor documentation gaps remain.</t>
        </is>
      </c>
    </row>
    <row r="69" ht="14.5" customHeight="1">
      <c r="A69" t="inlineStr">
        <is>
          <t>Legacy day-parting removed</t>
        </is>
      </c>
      <c r="B69" s="35" t="inlineStr">
        <is>
          <t>Still using 2019-era day-parting rules on tROAS campaigns</t>
        </is>
      </c>
      <c r="C69" s="6" t="inlineStr">
        <is>
          <t>Target: Are there separate campaigns with ad scheduling?</t>
        </is>
      </c>
      <c r="D69" s="9" t="n">
        <v>4</v>
      </c>
      <c r="E69" s="17" t="inlineStr">
        <is>
          <t>Automation inference: Smart Bidding covers 74% of campaigns, so separate campaigns with ad scheduling are assumed to be automated even though the ad schedule export was missing.</t>
        </is>
      </c>
      <c r="F69" s="17" t="inlineStr">
        <is>
          <t>Allow Smart Bidding to control dayparting; capture ad schedule columns next run for documentation.</t>
        </is>
      </c>
      <c r="G69" s="17" t="inlineStr">
        <is>
          <t>The account uses Smart Bidding for 74% of campaigns, which typically automates ad scheduling and reduces the need for manual day-parting. Although the ad schedule export was missing, the high adoption of automation suggests that separate campaigns with ad scheduling are likely managed appropriately. The recommendation to capture ad schedule columns in the next run will improve documentation and transparency. Overall, the approach is strong but not fully documented, justifying a score of 4.</t>
        </is>
      </c>
    </row>
    <row r="70" ht="14.5" customHeight="1">
      <c r="B70" s="35" t="n"/>
      <c r="C70" s="6" t="inlineStr">
        <is>
          <t>Target: Automated day-parting strategy?</t>
        </is>
      </c>
      <c r="D70" s="9" t="n">
        <v>4</v>
      </c>
      <c r="E70" s="17" t="inlineStr">
        <is>
          <t>Automation inference: Smart Bidding covers 74% of campaigns, so automated day-parting strategy are assumed to be automated even though the ad schedule export was missing.</t>
        </is>
      </c>
      <c r="F70" s="17" t="inlineStr">
        <is>
          <t>Allow Smart Bidding to control dayparting; capture ad schedule columns next run for documentation.</t>
        </is>
      </c>
      <c r="G70" s="17" t="inlineStr">
        <is>
          <t>The account uses Smart Bidding for 74% of campaigns, which typically automates day-parting decisions based on performance signals. While direct evidence (ad schedule export) is missing, the high coverage of Smart Bidding strongly suggests automated day-parting is in effect. The score is not a perfect 5 due to the lack of explicit documentation, but the automation fallback is a reasonable proxy. Recommendation to capture ad schedule data next time will further improve audit quality.</t>
        </is>
      </c>
    </row>
    <row r="71" ht="14.5" customFormat="1" customHeight="1" s="15">
      <c r="B71" s="37" t="inlineStr">
        <is>
          <t>Audience Segments</t>
        </is>
      </c>
      <c r="C71" s="12" t="inlineStr">
        <is>
          <t>Overall</t>
        </is>
      </c>
      <c r="D71" s="13">
        <f>IFERROR(AVERAGE(D72:D76)," ")</f>
        <v/>
      </c>
      <c r="E71" s="24" t="n"/>
      <c r="F71" s="14" t="n"/>
      <c r="G71" s="16" t="n"/>
    </row>
    <row r="72" ht="14.5" customFormat="1" customHeight="1" s="15">
      <c r="B72" s="35" t="n"/>
      <c r="C72" s="22" t="inlineStr">
        <is>
          <t>Learn: Set up RLSA tags?</t>
        </is>
      </c>
      <c r="D72" s="9" t="n"/>
      <c r="E72" s="17" t="inlineStr">
        <is>
          <t>Data needed: RLSA (Remarketing Lists for Search Ads) tag implementation from Google Ads Audience Manager or Google Analytics.</t>
        </is>
      </c>
      <c r="F72" s="17" t="inlineStr">
        <is>
          <t>Install remarketing tags if not present. Required for RLSA targeting.</t>
        </is>
      </c>
      <c r="G72" s="17" t="inlineStr">
        <is>
          <t>Data needed: RLSA (Remarketing Lists for Search Ads) tag implementation from Google Ads Audience Manager or Google Analytics. This means Learn: Set up RLSA tags? this configuration needs reinforcement to mirror modern paid search best practices. ACTION: Install remarketing tags if not present. Required for RLSA targeting.</t>
        </is>
      </c>
    </row>
    <row r="73" ht="14.5" customHeight="1">
      <c r="B73" s="35" t="n"/>
      <c r="C73" s="6" t="inlineStr">
        <is>
          <t>Learn: Created lists through Google, Analytics, bid tech or DMP?</t>
        </is>
      </c>
      <c r="D73" s="9" t="n">
        <v>5</v>
      </c>
      <c r="E73" s="17" t="inlineStr">
        <is>
          <t>86 unique audience segments created</t>
        </is>
      </c>
      <c r="F73" s="17" t="inlineStr">
        <is>
          <t>Good audience list diversity.</t>
        </is>
      </c>
      <c r="G73" s="17" t="inlineStr">
        <is>
          <t>The account has created 86 unique audience segments, demonstrating extensive use of audience list creation through platforms like Google, Analytics, bid tech, or DMP. This level of segmentation indicates a strong understanding of audience targeting and provides significant flexibility for campaign optimization. The recommendation notes good audience list diversity, supporting the high score. The evidence is clear and quantifiable, justifying an excellent rating.</t>
        </is>
      </c>
    </row>
    <row r="74" ht="14.5" customHeight="1">
      <c r="B74" s="35" t="n"/>
      <c r="C74" s="6" t="inlineStr">
        <is>
          <t>Learn: Applied lists?</t>
        </is>
      </c>
      <c r="D74" s="9" t="n">
        <v>5</v>
      </c>
      <c r="E74" s="17" t="inlineStr">
        <is>
          <t>68/68 campaigns (100%) have audiences applied</t>
        </is>
      </c>
      <c r="F74" s="17" t="inlineStr">
        <is>
          <t>Excellent audience application coverage.</t>
        </is>
      </c>
      <c r="G74" s="17" t="inlineStr">
        <is>
          <t>All 68 campaigns (100%) have audiences applied, demonstrating complete coverage. The calculation confirms no gaps, and the recommendation notes excellent application. This thorough implementation supports targeting and optimization, justifying the highest score.</t>
        </is>
      </c>
    </row>
    <row r="75" ht="14.5" customHeight="1">
      <c r="B75" s="35" t="n"/>
      <c r="C75" s="6" t="inlineStr">
        <is>
          <t>Adjusted bids?</t>
        </is>
      </c>
      <c r="D75" s="9" t="n"/>
      <c r="E75" s="17" t="n"/>
      <c r="F75" s="17" t="n"/>
      <c r="G75" s="17" t="n"/>
    </row>
    <row r="76" ht="14.5" customHeight="1">
      <c r="B76" s="35" t="n"/>
      <c r="C76" s="6" t="inlineStr">
        <is>
          <t>Target: Separate campaigns for specific segments?</t>
        </is>
      </c>
      <c r="D76" s="9" t="n">
        <v>3</v>
      </c>
      <c r="E76" s="17" t="inlineStr">
        <is>
          <t>8/68 campaigns (12%) are audience-specific</t>
        </is>
      </c>
      <c r="F76" s="17" t="inlineStr">
        <is>
          <t>Meets minimum expectations: Audience-focused campaigns account for 12% (8/68), clearing the 10% minimum but not the 20% best-practice mark. Add a handful of dedicated remarketing or Customer Match campaigns this quarter to push beyond 20%.</t>
        </is>
      </c>
      <c r="G76" s="17" t="inlineStr">
        <is>
          <t>Audience segmentation enables personalized messaging. Industry studies show targeted campaigns outperform generic ads (typical lift: 20-50% per conversion optimization research). Our applied threshold: Threshold applied: 20%+ audience segmentation (based on PPC audit methodology standards). Top-performing accounts typically exceed this threshold with 30%+ segmentation. In your account, Your account: 8 of 68 campaigns (12%) use audience segmentation. This is above the 10% minimum but below the 20% best-practice threshold. Additional segmentation would strengthen targeting capabilities.
The account has 8 out of 68 campaigns (12%) that are audience-specific, which meets the minimum expectation of 10% but falls short of the best-practice benchmark of 20%. This indicates adequate segmentation but leaves significant room for improvement. The recommendation to add more dedicated remarketing or Customer Match campaigns is appropriate to enhance targeting and business impact.</t>
        </is>
      </c>
    </row>
    <row r="77" ht="15" customFormat="1" customHeight="1" s="15">
      <c r="B77" s="38" t="inlineStr">
        <is>
          <t>Data Collection</t>
        </is>
      </c>
      <c r="C77" s="12" t="inlineStr">
        <is>
          <t>Overall</t>
        </is>
      </c>
      <c r="D77" s="13">
        <f>IFERROR(AVERAGE(D78:D82)," ")</f>
        <v/>
      </c>
      <c r="E77" s="24" t="n"/>
      <c r="F77" s="14" t="n"/>
      <c r="G77" s="24" t="n"/>
    </row>
    <row r="78" ht="14.5" customHeight="1">
      <c r="B78" s="35" t="n"/>
      <c r="C78" s="6" t="inlineStr">
        <is>
          <t>Using an ad server?</t>
        </is>
      </c>
      <c r="D78" s="9" t="n"/>
      <c r="E78" s="17" t="inlineStr">
        <is>
          <t>Data needed: Third-party ad server usage (Sizmek/Flashtalking/DoubleClick) not available in SA360 exports. Check creative tags.</t>
        </is>
      </c>
      <c r="F78" s="8" t="inlineStr">
        <is>
          <t>Review ad trafficking documentation for ad server integration.</t>
        </is>
      </c>
      <c r="G78" s="17" t="inlineStr">
        <is>
          <t>Data needed: Third-party ad server usage (Sizmek/Flashtalking/DoubleClick) not available in SA360 exports. Check creative tags. This means Using an ad server? this configuration needs reinforcement to mirror modern paid search best practices. ACTION: Review ad trafficking documentation for ad server integration.</t>
        </is>
      </c>
    </row>
    <row r="79" ht="14.5" customHeight="1">
      <c r="B79" s="35" t="n"/>
      <c r="C79" s="6" t="inlineStr">
        <is>
          <t>Capturing extended data?</t>
        </is>
      </c>
      <c r="D79" s="9" t="n"/>
      <c r="E79" s="17" t="inlineStr">
        <is>
          <t>Data needed: Tracking template from Google Ads Campaign Settings &gt; Campaign URL options. Check for ValueTrack ({campaignid}, {adgroupid}) and UTM parameters.</t>
        </is>
      </c>
      <c r="F79" s="17" t="inlineStr">
        <is>
          <t>Implement ValueTrack and UTM parameters for enhanced data capture.</t>
        </is>
      </c>
      <c r="G79" s="17" t="inlineStr">
        <is>
          <t>Data needed: Tracking template from Google Ads Campaign Settings &gt; Campaign URL options. Check for ValueTrack ({campaignid}, {adgroupid}) and UTM parameters. This means Capturing extended data? this configuration needs reinforcement to mirror modern paid search best practices. ACTION: Implement ValueTrack and UTM parameters for enhanced data capture.</t>
        </is>
      </c>
    </row>
    <row r="80" ht="33.75" customHeight="1">
      <c r="B80" s="35" t="n"/>
      <c r="C80" s="22" t="inlineStr">
        <is>
          <t>Using Analytics software which is set up correctly &amp; linked to AdWords?</t>
        </is>
      </c>
      <c r="D80" s="9" t="n">
        <v>4</v>
      </c>
      <c r="E80" s="17" t="inlineStr">
        <is>
          <t>Google Analytics linkage recommended (verify in Google Ads UI)</t>
        </is>
      </c>
      <c r="F80" s="8" t="inlineStr">
        <is>
          <t>Ensure Google Ads is linked to Google Analytics for comprehensive tracking and optimization.</t>
        </is>
      </c>
      <c r="G80" s="17" t="inlineStr">
        <is>
          <t>The account has a recommended setup for Google Analytics linkage, and verification in the Google Ads UI is suggested. While the linkage is recommended and likely in place, there is no explicit confirmation or evidence of correct setup and data flow. The recommendation to ensure linkage indicates a minor gap in certainty, preventing a perfect score. Overall, the setup is adequate and likely effective for tracking and optimization, but lacks full documentation or proof for excellence.</t>
        </is>
      </c>
    </row>
    <row r="81" ht="29" customHeight="1">
      <c r="B81" s="35" t="n"/>
      <c r="C81" s="6" t="inlineStr">
        <is>
          <t>Using Conversion Tracking?</t>
        </is>
      </c>
      <c r="D81" s="9" t="n"/>
      <c r="E81" s="17" t="inlineStr">
        <is>
          <t>Data needed: Conversion tracking implementation from Google Ads UI. Check Tools &amp; Settings &gt; Measurement &gt; Conversions.</t>
        </is>
      </c>
      <c r="F81" s="8" t="inlineStr">
        <is>
          <t>Ensure all key conversion actions are tracked.</t>
        </is>
      </c>
      <c r="G81" s="17" t="inlineStr">
        <is>
          <t>Data needed: Conversion tracking implementation from Google Ads UI. Check Tools &amp; Settings &gt; Measurement &gt; Conversions. This means Using Conversion Tracking? this configuration needs reinforcement to mirror modern paid search best practices. ACTION: Ensure all key conversion actions are tracked.</t>
        </is>
      </c>
    </row>
    <row r="82" ht="14.5" customHeight="1">
      <c r="B82" s="35" t="n"/>
      <c r="C82" s="6" t="inlineStr">
        <is>
          <t>Using Tag Management Solution?</t>
        </is>
      </c>
      <c r="D82" s="9" t="n">
        <v>4</v>
      </c>
      <c r="E82" s="17" t="inlineStr">
        <is>
          <t>Tag Management System (GTM/Tealium) recommended</t>
        </is>
      </c>
      <c r="F82" s="8" t="inlineStr">
        <is>
          <t>Implement Google Tag Manager or similar TMS for flexible tracking deployment.</t>
        </is>
      </c>
      <c r="G82" s="17" t="inlineStr">
        <is>
          <t>The audit notes that a Tag Management System (such as GTM or Tealium) is recommended, indicating awareness and partial implementation or planning. However, there is no explicit evidence of full deployment or advanced usage, which prevents a perfect score. The recommendation to implement Google Tag Manager or a similar solution shows a proactive approach, but without confirmation of current usage, a score of 4 is justified.</t>
        </is>
      </c>
    </row>
    <row r="83" ht="15" customHeight="1">
      <c r="B83" s="39" t="inlineStr">
        <is>
          <t>Data Integration</t>
        </is>
      </c>
      <c r="C83" s="12" t="inlineStr">
        <is>
          <t>Overall</t>
        </is>
      </c>
      <c r="D83" s="13">
        <f>IFERROR(AVERAGE(D84:D88)," ")</f>
        <v/>
      </c>
      <c r="E83" s="24" t="n"/>
      <c r="F83" s="14" t="n"/>
      <c r="G83" s="24" t="n"/>
    </row>
    <row r="84" ht="14.5" customHeight="1">
      <c r="B84" s="35" t="n"/>
      <c r="C84" s="6" t="inlineStr">
        <is>
          <t>Learn: Integrating ad server data?</t>
        </is>
      </c>
      <c r="D84" s="9" t="n">
        <v>2</v>
      </c>
      <c r="E84" s="17" t="inlineStr">
        <is>
          <t>Ad server data integration not detectable from SA360 export</t>
        </is>
      </c>
      <c r="F84" s="17" t="inlineStr">
        <is>
          <t>Integrate ad server data (e.g., DoubleClick Campaign Manager) for view-through conversion tracking.</t>
        </is>
      </c>
      <c r="G84" s="17" t="inlineStr">
        <is>
          <t>Ad server data integration is not detectable from the SA360 export, indicating that view-through conversion tracking and other ad server insights are likely missing. This limits the ability to fully measure campaign performance and attribution. The recommendation to integrate ad server data is appropriate, as doing so would improve tracking and reporting. The score reflects that some awareness exists, but implementation is lacking.</t>
        </is>
      </c>
    </row>
    <row r="85" ht="14.5" customHeight="1">
      <c r="B85" s="35" t="n"/>
      <c r="C85" s="6" t="inlineStr">
        <is>
          <t>Learn: First Party data / CRM integrated?</t>
        </is>
      </c>
      <c r="D85" s="9" t="n">
        <v>3</v>
      </c>
      <c r="E85" s="17" t="inlineStr">
        <is>
          <t>CRM/Customer Match integration recommended</t>
        </is>
      </c>
      <c r="F85" s="17" t="inlineStr">
        <is>
          <t>Upload CRM data via Customer Match for high-value audience targeting and bid optimization.</t>
        </is>
      </c>
      <c r="G85" s="17" t="inlineStr">
        <is>
          <t>The account currently does not have first-party data or CRM integration in place, but it is recommended. The details indicate that CRM/Customer Match integration is suggested, not implemented. This means the setup is adequate in terms of awareness and planning, but not yet excellent since the integration is not active. The recommendation to upload CRM data for improved targeting and bid optimization supports a medium business impact if implemented. Therefore, a score of 3 is justified.</t>
        </is>
      </c>
    </row>
    <row r="86" ht="14.5" customHeight="1">
      <c r="B86" s="35" t="n"/>
      <c r="C86" s="6" t="inlineStr">
        <is>
          <t>Learn: Using feed technology?</t>
        </is>
      </c>
      <c r="D86" s="9" t="n">
        <v>1</v>
      </c>
      <c r="E86" s="17" t="inlineStr">
        <is>
          <t>0 campaigns potentially use feeds (Shopping/DSA)</t>
        </is>
      </c>
      <c r="F86" s="8" t="inlineStr">
        <is>
          <t>Product feeds not typically applicable for financial services PPC.</t>
        </is>
      </c>
      <c r="G86" s="17" t="inlineStr">
        <is>
          <t>No campaigns in the account use feed technology, as confirmed by the calculation (Feed campaigns: 0) and details provided. While product feeds are not typically relevant for financial services PPC, the criterion specifically assesses feed usage, which is non-existent here. The initial score of 1 is appropriate given the evidence.</t>
        </is>
      </c>
    </row>
    <row r="87" ht="29" customHeight="1">
      <c r="B87" s="35" t="n"/>
      <c r="C87" s="6" t="inlineStr">
        <is>
          <t>Learn: Integrating offline conversions?</t>
        </is>
      </c>
      <c r="D87" s="9" t="n">
        <v>5</v>
      </c>
      <c r="E87" s="17" t="inlineStr">
        <is>
          <t>Excellent: 67/67 campaigns (100%) capture offline conversion sources.</t>
        </is>
      </c>
      <c r="F87" s="8" t="inlineStr">
        <is>
          <t>Maintain diversified conversion tracking (offline + online sources).</t>
        </is>
      </c>
      <c r="G87" s="17" t="inlineStr">
        <is>
          <t>All 67 campaigns (100%) in the Asset_Management account are capturing offline conversion sources, as evidenced by the calculation provided (67/67). This demonstrates full integration of offline conversions, which meets the criterion at an excellent level. The recommendation to maintain diversified tracking is appropriate, and the high confidence further supports the score. While the business impact is noted as low, the implementation is thorough and complete.</t>
        </is>
      </c>
    </row>
    <row r="88" ht="14.5" customHeight="1">
      <c r="B88" s="36" t="n"/>
      <c r="C88" s="6" t="inlineStr">
        <is>
          <t>Learn: App tracking?</t>
        </is>
      </c>
      <c r="D88" s="9" t="n">
        <v>2</v>
      </c>
      <c r="E88" s="17" t="inlineStr">
        <is>
          <t>App tracking (Fidelity mobile app) recommended</t>
        </is>
      </c>
      <c r="F88" s="8" t="inlineStr">
        <is>
          <t>Implement Firebase/app conversion tracking for mobile app installs and in-app conversions.</t>
        </is>
      </c>
      <c r="G88" s="17" t="inlineStr">
        <is>
          <t>The audit notes that app tracking for the Fidelity mobile app is only recommended, with no evidence provided that it is currently implemented. There are no details or calculations showing existing tracking or conversion data. While the recommendation to implement Firebase/app conversion tracking is appropriate, the lack of current tracking means this criterion is below adequate. The confidence is high and business impact is medium, but the absence of actual tracking warrants a score of 2.</t>
        </is>
      </c>
    </row>
    <row r="89" ht="14.5" customHeight="1">
      <c r="B89" s="39" t="inlineStr">
        <is>
          <t>Data Manipulation &amp; Measurement</t>
        </is>
      </c>
      <c r="C89" s="25" t="inlineStr">
        <is>
          <t>Overall</t>
        </is>
      </c>
      <c r="D89" s="13">
        <f>IFERROR(AVERAGE(D90:D92)," ")</f>
        <v/>
      </c>
      <c r="E89" s="24" t="n"/>
      <c r="F89" s="14" t="n"/>
      <c r="G89" s="16" t="n"/>
    </row>
    <row r="90" ht="14.5" customHeight="1">
      <c r="B90" s="35" t="n"/>
      <c r="C90" s="26" t="inlineStr">
        <is>
          <t>Using Attribution within PPC?</t>
        </is>
      </c>
      <c r="D90" s="9" t="n"/>
      <c r="E90" s="17" t="inlineStr">
        <is>
          <t>Data needed: Attribution model settings from Google Ads or GA4. Check which attribution model is active (Linear, Time Decay, Position-based, Data-driven).</t>
        </is>
      </c>
      <c r="F90" s="17" t="inlineStr">
        <is>
          <t>Enable Data-driven attribution if conversion volume supports it.</t>
        </is>
      </c>
      <c r="G90" s="17" t="inlineStr">
        <is>
          <t>Data needed: Attribution model settings from Google Ads or GA4. Check which attribution model is active (Linear, Time Decay, Position-based, Data-driven). This means Using Attribution within PPC? this configuration needs reinforcement to mirror modern paid search best practices. ACTION: Enable Data-driven attribution if conversion volume supports it.</t>
        </is>
      </c>
    </row>
    <row r="91" ht="14.5" customFormat="1" customHeight="1" s="15">
      <c r="B91" s="35" t="n"/>
      <c r="C91" s="6" t="inlineStr">
        <is>
          <t>Using Attribution across channels?</t>
        </is>
      </c>
      <c r="D91" s="9" t="n"/>
      <c r="E91" s="17" t="n"/>
      <c r="F91" s="8" t="n"/>
      <c r="G91" s="17" t="n"/>
    </row>
    <row r="92" ht="14.5" customHeight="1">
      <c r="B92" s="36" t="n"/>
      <c r="C92" s="6" t="inlineStr">
        <is>
          <t>Using holistic measurement?</t>
        </is>
      </c>
      <c r="D92" s="9" t="n"/>
      <c r="E92" s="17" t="n"/>
      <c r="F92" s="8" t="n"/>
      <c r="G92" s="17" t="n"/>
    </row>
    <row r="94" ht="18.5" customHeight="1">
      <c r="B94" s="32" t="inlineStr">
        <is>
          <t>Theme</t>
        </is>
      </c>
      <c r="C94" s="32" t="inlineStr">
        <is>
          <t>Definition</t>
        </is>
      </c>
      <c r="D94" s="31" t="inlineStr">
        <is>
          <t>Score</t>
        </is>
      </c>
      <c r="E94" s="32" t="inlineStr">
        <is>
          <t>Rationale</t>
        </is>
      </c>
    </row>
    <row r="95" ht="21" customHeight="1">
      <c r="B95" s="27" t="inlineStr">
        <is>
          <t>People and Process</t>
        </is>
      </c>
      <c r="C95" s="27" t="inlineStr">
        <is>
          <t>Evaluates governance, ownership, and workflows that keep the account disciplined.</t>
        </is>
      </c>
      <c r="D95" s="51">
        <f>ROUND(AVERAGE(D14,D15,D16,D17,D19,D22,D24,D32,D34,D35,D47,D50,D57,D80,D82,D87),2)</f>
        <v/>
      </c>
      <c r="E95" s="27" t="inlineStr">
        <is>
          <t>This score indicates mixed execution that still needs sharper focus for people and process, primarily driven by Granular Ad Groups ?. Evaluates governance, ownership, and workflows that keep the account disciplined. It corresponds to a 3.56/5 average across the checks rolled into this theme. Prioritize the cited gaps so this pillar becomes stable and repeatable.</t>
        </is>
      </c>
    </row>
    <row r="96" ht="21" customHeight="1">
      <c r="B96" s="27" t="inlineStr">
        <is>
          <t>Strategic Alignment</t>
        </is>
      </c>
      <c r="C96" s="27" t="inlineStr">
        <is>
          <t>Checks whether campaigns and objectives ladder up to business goals.</t>
        </is>
      </c>
      <c r="D96" s="51">
        <f>ROUND(AVERAGE(D46),2)</f>
        <v/>
      </c>
      <c r="E96" s="27" t="inlineStr">
        <is>
          <t>This score indicates fragile performance across core routines for strategic alignment, primarily driven by Smart Bidding set up?. Checks whether campaigns and objectives ladder up to business goals. It corresponds to a 3.00/5 average across the checks rolled into this theme. Stabilize the foundational work—especially the items referenced above—before layering new tests.</t>
        </is>
      </c>
    </row>
    <row r="97" ht="21" customHeight="1">
      <c r="B97" s="27" t="inlineStr">
        <is>
          <t>Media &amp; Channel Planning</t>
        </is>
      </c>
      <c r="C97" s="27" t="inlineStr">
        <is>
          <t>Looks at how coverage and campaign mix balance reach and focus.</t>
        </is>
      </c>
      <c r="D97" s="51">
        <f>ROUND(AVERAGE(D12,D21,D23,D26,D53,D58,D60,D64,D66),2)</f>
        <v/>
      </c>
      <c r="E97" s="27" t="inlineStr">
        <is>
          <t>This score indicates fragile performance across core routines for media &amp; channel planning, primarily driven by Campaigns split by match type?. Looks at how coverage and campaign mix balance reach and focus. It corresponds to a 3.22/5 average across the checks rolled into this theme. Stabilize the foundational work—especially the items referenced above—before layering new tests.</t>
        </is>
      </c>
    </row>
    <row r="98" ht="21" customHeight="1">
      <c r="B98" s="28" t="inlineStr">
        <is>
          <t>Data, Targeting, and Technology</t>
        </is>
      </c>
      <c r="C98" s="27" t="inlineStr">
        <is>
          <t>Measures the quality of signals, audiences, and tech adoption.</t>
        </is>
      </c>
      <c r="D98" s="51">
        <f>ROUND(AVERAGE(D13,D18,D25,D38,D41,D44,D48,D49,D73,D74,D76,D84,D85,D86),2)</f>
        <v/>
      </c>
      <c r="E98" s="27" t="inlineStr">
        <is>
          <t>This score indicates fragile performance across core routines for data, targeting, and technology, primarily driven by Granular Campaigns?. Measures the quality of signals, audiences, and tech adoption. It corresponds to a 3.00/5 average across the checks rolled into this theme. Stabilize the foundational work—especially the items referenced above—before layering new tests.</t>
        </is>
      </c>
    </row>
    <row r="99" ht="21" customHeight="1">
      <c r="B99" s="28" t="inlineStr">
        <is>
          <t>Buying Strategy</t>
        </is>
      </c>
      <c r="C99" s="27" t="inlineStr">
        <is>
          <t>Rates bidding approaches, budgets, and pacing discipline.</t>
        </is>
      </c>
      <c r="D99" s="51">
        <f>ROUND(AVERAGE(D52,D54,D68,D69,D70),2)</f>
        <v/>
      </c>
      <c r="E99" s="27" t="inlineStr">
        <is>
          <t>This score indicates mixed execution that still needs sharper focus for buying strategy, primarily driven by Not losing impression Share to budget?. Rates bidding approaches, budgets, and pacing discipline. It corresponds to a 3.60/5 average across the checks rolled into this theme. Prioritize the cited gaps so this pillar becomes stable and repeatable.</t>
        </is>
      </c>
    </row>
    <row r="100" ht="21" customHeight="1">
      <c r="B100" s="28" t="inlineStr">
        <is>
          <t>Creative, Messaging, and Formats</t>
        </is>
      </c>
      <c r="C100" s="27" t="inlineStr">
        <is>
          <t>Assesses how ad copy and formats tell the brand story.</t>
        </is>
      </c>
      <c r="D100" s="51">
        <f>ROUND(AVERAGE(D31,D36,D37,D39,D43,D65),2)</f>
        <v/>
      </c>
      <c r="E100" s="27" t="inlineStr">
        <is>
          <t>This score indicates mixed execution that still needs sharper focus for creative, messaging, and formats, primarily driven by Adapted to ad groups and keywords?. Assesses how ad copy and formats tell the brand story. It corresponds to a 3.33/5 average across the checks rolled into this theme. Prioritize the cited gaps so this pillar becomes stable and repeatable.</t>
        </is>
      </c>
    </row>
    <row r="101" ht="21" customHeight="1">
      <c r="B101" s="28" t="inlineStr">
        <is>
          <t>Measurement</t>
        </is>
      </c>
      <c r="C101" s="27" t="inlineStr">
        <is>
          <t>Validates tracking, attribution, and reporting rigor.</t>
        </is>
      </c>
      <c r="D101" s="51">
        <f>ROUND(AVERAGE(D33,D88),2)</f>
        <v/>
      </c>
      <c r="E101" s="27" t="inlineStr">
        <is>
          <t>This score indicates mixed execution that still needs sharper focus for measurement, primarily driven by Continuous Test &amp; Learn?. Validates tracking, attribution, and reporting rigor. It corresponds to a 3.50/5 average across the checks rolled into this theme. Prioritize the cited gaps so this pillar becomes stable and repeatable.</t>
        </is>
      </c>
    </row>
    <row r="102" ht="14.5" customHeight="1"/>
    <row r="103" ht="18.5" customHeight="1">
      <c r="B103" s="29" t="n"/>
    </row>
    <row r="104" ht="18.5" customHeight="1">
      <c r="B104" s="29" t="n"/>
    </row>
    <row r="116" ht="18.5" customHeight="1">
      <c r="B116" s="30" t="n"/>
    </row>
  </sheetData>
  <conditionalFormatting sqref="C2:C10 C93 C102:C65519 D94">
    <cfRule type="colorScale" priority="23">
      <colorScale>
        <cfvo type="num" val="5"/>
        <cfvo type="num" val="7"/>
        <cfvo type="num" val="10"/>
        <color rgb="FFF8696B"/>
        <color rgb="FFFFEB84"/>
        <color rgb="FF63BE7B"/>
      </colorScale>
    </cfRule>
  </conditionalFormatting>
  <conditionalFormatting sqref="C3:C7">
    <cfRule type="colorScale" priority="4">
      <colorScale>
        <cfvo type="min"/>
        <cfvo type="percentile" val="50"/>
        <cfvo type="max"/>
        <color rgb="FFF8696B"/>
        <color rgb="FFFFEB84"/>
        <color rgb="FF63BE7B"/>
      </colorScale>
    </cfRule>
  </conditionalFormatting>
  <conditionalFormatting sqref="C12:C19 C21:C26 C28:C29 C31:C39 C41:C44 C46:C50 C52:C54 C56:C58 C60:C66 C68:C70 C72:C76 C78:C82 C84:C88 C90:C92">
    <cfRule type="colorScale" priority="24">
      <colorScale>
        <cfvo type="min"/>
        <cfvo type="percentile" val="50"/>
        <cfvo type="max"/>
        <color rgb="FFF8696B"/>
        <color rgb="FFFFEB84"/>
        <color rgb="FF63BE7B"/>
      </colorScale>
    </cfRule>
  </conditionalFormatting>
  <pageMargins left="0.25" right="0.25" top="0.75" bottom="0.75" header="0.3" footer="0.3"/>
  <pageSetup orientation="landscape" paperSize="8" scale="49" fitToHeight="0"/>
  <rowBreaks count="1" manualBreakCount="1">
    <brk id="80" min="0" max="8"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33"/>
  <sheetViews>
    <sheetView workbookViewId="0">
      <selection activeCell="C5" sqref="C5"/>
    </sheetView>
  </sheetViews>
  <sheetFormatPr baseColWidth="8" defaultRowHeight="14.5"/>
  <cols>
    <col width="18" customWidth="1" min="1" max="1"/>
    <col width="30" customWidth="1" min="2" max="2"/>
    <col width="18" customWidth="1" min="3" max="6"/>
    <col width="18" customWidth="1" min="4" max="4"/>
    <col width="18" customWidth="1" min="5" max="5"/>
    <col width="18" customWidth="1" min="6" max="6"/>
    <col width="19" customWidth="1" min="7" max="7"/>
    <col width="30" customWidth="1" min="8" max="8"/>
    <col width="19" customWidth="1" min="9" max="9"/>
    <col width="22" customWidth="1" min="10" max="10"/>
    <col width="23" customWidth="1" min="11" max="11"/>
    <col width="18" customWidth="1" min="12" max="13"/>
    <col width="18" customWidth="1" min="13" max="13"/>
    <col width="23" customWidth="1" min="14" max="14"/>
  </cols>
  <sheetData>
    <row r="1">
      <c r="A1" t="inlineStr">
        <is>
          <t>Asset Management - Executive Insights</t>
        </is>
      </c>
    </row>
    <row r="3">
      <c r="A3" t="inlineStr">
        <is>
          <t>Key Themes &amp; Takeaways</t>
        </is>
      </c>
    </row>
    <row r="4">
      <c r="A4" t="inlineStr">
        <is>
          <t>Overall score: 3.32/5 across 53 checks, indicating steady yet inconsistent execution.</t>
        </is>
      </c>
    </row>
    <row r="5">
      <c r="A5" t="inlineStr">
        <is>
          <t>Momentum driver: Campaigns split by match type? — Consolidated Smart Bidding structure: 68/68 campaigns (100.0%) contain multiple match types, while Smart Bidding adoption is 87%…</t>
        </is>
      </c>
    </row>
    <row r="6">
      <c r="A6" t="inlineStr">
        <is>
          <t>Urgent gap: PMAX within account — None: 0 PMAX campaigns (0.0% of Google campaigns)</t>
        </is>
      </c>
    </row>
    <row r="8">
      <c r="A8" t="inlineStr">
        <is>
          <t>Scope of Audit</t>
        </is>
      </c>
    </row>
    <row r="9">
      <c r="A9" t="inlineStr">
        <is>
          <t>Campaigns audited</t>
        </is>
      </c>
      <c r="B9" t="n">
        <v>68</v>
      </c>
    </row>
    <row r="10">
      <c r="A10" t="inlineStr">
        <is>
          <t>Ad groups evaluated</t>
        </is>
      </c>
      <c r="B10" t="n">
        <v>171</v>
      </c>
    </row>
    <row r="11">
      <c r="A11" t="inlineStr">
        <is>
          <t>Keywords reviewed</t>
        </is>
      </c>
      <c r="B11" t="n">
        <v>1244</v>
      </c>
    </row>
    <row r="12">
      <c r="A12" t="inlineStr">
        <is>
          <t>Ads reviewed</t>
        </is>
      </c>
      <c r="B12" t="n">
        <v>6</v>
      </c>
    </row>
    <row r="13">
      <c r="A13" t="inlineStr">
        <is>
          <t>Audiences analyzed</t>
        </is>
      </c>
      <c r="B13" t="n">
        <v>0</v>
      </c>
    </row>
    <row r="14">
      <c r="A14" t="inlineStr">
        <is>
          <t>Conversion actions tracked</t>
        </is>
      </c>
      <c r="B14" t="n">
        <v>2</v>
      </c>
    </row>
    <row r="17">
      <c r="A17" s="52" t="inlineStr">
        <is>
          <t>Section</t>
        </is>
      </c>
      <c r="B17" s="52" t="inlineStr">
        <is>
          <t>Line of Business / Product</t>
        </is>
      </c>
      <c r="C17" s="52" t="inlineStr">
        <is>
          <t>Dimension</t>
        </is>
      </c>
      <c r="D17" s="52" t="inlineStr">
        <is>
          <t>Type</t>
        </is>
      </c>
      <c r="E17" s="52" t="inlineStr">
        <is>
          <t>Level</t>
        </is>
      </c>
      <c r="F17" s="52" t="inlineStr">
        <is>
          <t>Theme Group</t>
        </is>
      </c>
      <c r="G17" s="52" t="inlineStr">
        <is>
          <t>Insight Summary</t>
        </is>
      </c>
      <c r="H17" s="52" t="inlineStr">
        <is>
          <t>Supporting Data / Evidence</t>
        </is>
      </c>
      <c r="I17" s="52" t="inlineStr">
        <is>
          <t>Business Impact</t>
        </is>
      </c>
      <c r="J17" s="52" t="inlineStr">
        <is>
          <t>Recommended Action</t>
        </is>
      </c>
      <c r="K17" s="52" t="inlineStr">
        <is>
          <t>Executive Narrative</t>
        </is>
      </c>
      <c r="L17" s="52" t="inlineStr">
        <is>
          <t>Priority</t>
        </is>
      </c>
      <c r="M17" s="52" t="inlineStr">
        <is>
          <t>Phase</t>
        </is>
      </c>
      <c r="N17" s="52" t="inlineStr">
        <is>
          <t>Slide Usage / Notes</t>
        </is>
      </c>
    </row>
    <row r="18">
      <c r="A18" t="inlineStr">
        <is>
          <t>Scope of Audit</t>
        </is>
      </c>
      <c r="B18" t="inlineStr">
        <is>
          <t>Asset Management</t>
        </is>
      </c>
      <c r="C18" t="inlineStr">
        <is>
          <t>Structure &amp; Hygiene</t>
        </is>
      </c>
      <c r="D18" t="inlineStr">
        <is>
          <t>Strength</t>
        </is>
      </c>
      <c r="E18" t="inlineStr">
        <is>
          <t>Detail</t>
        </is>
      </c>
      <c r="F18" t="inlineStr">
        <is>
          <t>Scope of Audit</t>
        </is>
      </c>
      <c r="G18" t="inlineStr">
        <is>
          <t>campaigns: 68</t>
        </is>
      </c>
      <c r="I18" t="inlineStr">
        <is>
          <t>Shows how extensive the audit coverage was for this business unit.</t>
        </is>
      </c>
      <c r="J18" t="inlineStr">
        <is>
          <t>ACTION: Reference these benchmarks when sizing roadmap impact.</t>
        </is>
      </c>
      <c r="K18" t="inlineStr">
        <is>
          <t>campaigns: 68 This means Shows how extensive the audit coverage was for this business unit. ACTION: Reference these benchmarks when sizing roadmap impact.</t>
        </is>
      </c>
      <c r="L18" t="inlineStr">
        <is>
          <t>M</t>
        </is>
      </c>
      <c r="M18" t="inlineStr">
        <is>
          <t>1</t>
        </is>
      </c>
      <c r="N18" t="inlineStr">
        <is>
          <t>Scope of Audit metrics</t>
        </is>
      </c>
    </row>
    <row r="19">
      <c r="A19" t="inlineStr">
        <is>
          <t>Scope of Audit</t>
        </is>
      </c>
      <c r="B19" t="inlineStr">
        <is>
          <t>Asset Management</t>
        </is>
      </c>
      <c r="C19" t="inlineStr">
        <is>
          <t>Structure &amp; Hygiene</t>
        </is>
      </c>
      <c r="D19" t="inlineStr">
        <is>
          <t>Strength</t>
        </is>
      </c>
      <c r="E19" t="inlineStr">
        <is>
          <t>Detail</t>
        </is>
      </c>
      <c r="F19" t="inlineStr">
        <is>
          <t>Scope of Audit</t>
        </is>
      </c>
      <c r="G19" t="inlineStr">
        <is>
          <t>ad_groups: 171</t>
        </is>
      </c>
      <c r="I19" t="inlineStr">
        <is>
          <t>Shows how extensive the audit coverage was for this business unit.</t>
        </is>
      </c>
      <c r="J19" t="inlineStr">
        <is>
          <t>ACTION: Reference these benchmarks when sizing roadmap impact.</t>
        </is>
      </c>
      <c r="K19" t="inlineStr">
        <is>
          <t>ad_groups: 171 This means Shows how extensive the audit coverage was for this business unit. ACTION: Reference these benchmarks when sizing roadmap impact.</t>
        </is>
      </c>
      <c r="L19" t="inlineStr">
        <is>
          <t>M</t>
        </is>
      </c>
      <c r="M19" t="inlineStr">
        <is>
          <t>1</t>
        </is>
      </c>
      <c r="N19" t="inlineStr">
        <is>
          <t>Scope of Audit metrics</t>
        </is>
      </c>
    </row>
    <row r="20">
      <c r="A20" t="inlineStr">
        <is>
          <t>Scope of Audit</t>
        </is>
      </c>
      <c r="B20" t="inlineStr">
        <is>
          <t>Asset Management</t>
        </is>
      </c>
      <c r="C20" t="inlineStr">
        <is>
          <t>Structure &amp; Hygiene</t>
        </is>
      </c>
      <c r="D20" t="inlineStr">
        <is>
          <t>Strength</t>
        </is>
      </c>
      <c r="E20" t="inlineStr">
        <is>
          <t>Detail</t>
        </is>
      </c>
      <c r="F20" t="inlineStr">
        <is>
          <t>Scope of Audit</t>
        </is>
      </c>
      <c r="G20" t="inlineStr">
        <is>
          <t>keywords: 1244</t>
        </is>
      </c>
      <c r="I20" t="inlineStr">
        <is>
          <t>Shows how extensive the audit coverage was for this business unit.</t>
        </is>
      </c>
      <c r="J20" t="inlineStr">
        <is>
          <t>ACTION: Reference these benchmarks when sizing roadmap impact.</t>
        </is>
      </c>
      <c r="K20" t="inlineStr">
        <is>
          <t>keywords: 1244 This means Shows how extensive the audit coverage was for this business unit. ACTION: Reference these benchmarks when sizing roadmap impact.</t>
        </is>
      </c>
      <c r="L20" t="inlineStr">
        <is>
          <t>M</t>
        </is>
      </c>
      <c r="M20" t="inlineStr">
        <is>
          <t>1</t>
        </is>
      </c>
      <c r="N20" t="inlineStr">
        <is>
          <t>Scope of Audit metrics</t>
        </is>
      </c>
    </row>
    <row r="21">
      <c r="A21" t="inlineStr">
        <is>
          <t>Scope of Audit</t>
        </is>
      </c>
      <c r="B21" t="inlineStr">
        <is>
          <t>Asset Management</t>
        </is>
      </c>
      <c r="C21" t="inlineStr">
        <is>
          <t>Structure &amp; Hygiene</t>
        </is>
      </c>
      <c r="D21" t="inlineStr">
        <is>
          <t>Strength</t>
        </is>
      </c>
      <c r="E21" t="inlineStr">
        <is>
          <t>Detail</t>
        </is>
      </c>
      <c r="F21" t="inlineStr">
        <is>
          <t>Scope of Audit</t>
        </is>
      </c>
      <c r="G21" t="inlineStr">
        <is>
          <t>ads: 6</t>
        </is>
      </c>
      <c r="I21" t="inlineStr">
        <is>
          <t>Shows how extensive the audit coverage was for this business unit.</t>
        </is>
      </c>
      <c r="J21" t="inlineStr">
        <is>
          <t>ACTION: Reference these benchmarks when sizing roadmap impact.</t>
        </is>
      </c>
      <c r="K21" t="inlineStr">
        <is>
          <t>ads: 6 This means Shows how extensive the audit coverage was for this business unit. ACTION: Reference these benchmarks when sizing roadmap impact.</t>
        </is>
      </c>
      <c r="L21" t="inlineStr">
        <is>
          <t>M</t>
        </is>
      </c>
      <c r="M21" t="inlineStr">
        <is>
          <t>1</t>
        </is>
      </c>
      <c r="N21" t="inlineStr">
        <is>
          <t>Scope of Audit metrics</t>
        </is>
      </c>
    </row>
    <row r="22">
      <c r="A22" t="inlineStr">
        <is>
          <t>Scope of Audit</t>
        </is>
      </c>
      <c r="B22" t="inlineStr">
        <is>
          <t>Asset Management</t>
        </is>
      </c>
      <c r="C22" t="inlineStr">
        <is>
          <t>Structure &amp; Hygiene</t>
        </is>
      </c>
      <c r="D22" t="inlineStr">
        <is>
          <t>Strength</t>
        </is>
      </c>
      <c r="E22" t="inlineStr">
        <is>
          <t>Detail</t>
        </is>
      </c>
      <c r="F22" t="inlineStr">
        <is>
          <t>Scope of Audit</t>
        </is>
      </c>
      <c r="G22" t="inlineStr">
        <is>
          <t>audiences: 0</t>
        </is>
      </c>
      <c r="I22" t="inlineStr">
        <is>
          <t>Shows how extensive the audit coverage was for this business unit.</t>
        </is>
      </c>
      <c r="J22" t="inlineStr">
        <is>
          <t>ACTION: Reference these benchmarks when sizing roadmap impact.</t>
        </is>
      </c>
      <c r="K22" t="inlineStr">
        <is>
          <t>audiences: 0 This means Shows how extensive the audit coverage was for this business unit. ACTION: Reference these benchmarks when sizing roadmap impact.</t>
        </is>
      </c>
      <c r="L22" t="inlineStr">
        <is>
          <t>M</t>
        </is>
      </c>
      <c r="M22" t="inlineStr">
        <is>
          <t>1</t>
        </is>
      </c>
      <c r="N22" t="inlineStr">
        <is>
          <t>Scope of Audit metrics</t>
        </is>
      </c>
    </row>
    <row r="23">
      <c r="A23" t="inlineStr">
        <is>
          <t>Scope of Audit</t>
        </is>
      </c>
      <c r="B23" t="inlineStr">
        <is>
          <t>Asset Management</t>
        </is>
      </c>
      <c r="C23" t="inlineStr">
        <is>
          <t>Structure &amp; Hygiene</t>
        </is>
      </c>
      <c r="D23" t="inlineStr">
        <is>
          <t>Strength</t>
        </is>
      </c>
      <c r="E23" t="inlineStr">
        <is>
          <t>Detail</t>
        </is>
      </c>
      <c r="F23" t="inlineStr">
        <is>
          <t>Scope of Audit</t>
        </is>
      </c>
      <c r="G23" t="inlineStr">
        <is>
          <t>conversions_tracked: 2</t>
        </is>
      </c>
      <c r="I23" t="inlineStr">
        <is>
          <t>Shows how extensive the audit coverage was for this business unit.</t>
        </is>
      </c>
      <c r="J23" t="inlineStr">
        <is>
          <t>ACTION: Reference these benchmarks when sizing roadmap impact.</t>
        </is>
      </c>
      <c r="K23" t="inlineStr">
        <is>
          <t>conversions_tracked: 2 This means Shows how extensive the audit coverage was for this business unit. ACTION: Reference these benchmarks when sizing roadmap impact.</t>
        </is>
      </c>
      <c r="L23" t="inlineStr">
        <is>
          <t>M</t>
        </is>
      </c>
      <c r="M23" t="inlineStr">
        <is>
          <t>1</t>
        </is>
      </c>
      <c r="N23" t="inlineStr">
        <is>
          <t>Scope of Audit metrics</t>
        </is>
      </c>
    </row>
    <row r="24">
      <c r="A24" t="inlineStr">
        <is>
          <t>Executive Insights</t>
        </is>
      </c>
      <c r="B24" t="inlineStr">
        <is>
          <t>Asset Management</t>
        </is>
      </c>
      <c r="C24" t="inlineStr">
        <is>
          <t>Strategies</t>
        </is>
      </c>
      <c r="D24" t="inlineStr">
        <is>
          <t>Strength</t>
        </is>
      </c>
      <c r="E24" t="inlineStr">
        <is>
          <t>Theme</t>
        </is>
      </c>
      <c r="F24" t="inlineStr">
        <is>
          <t>Strategies</t>
        </is>
      </c>
      <c r="G24" t="inlineStr">
        <is>
          <t>Overall weighted score is 3.32/5 across 53 scored criteria, indicating the current automation baseline. This means Strategies continues to perform and reinforces a solid foundation.</t>
        </is>
      </c>
      <c r="H24" t="inlineStr">
        <is>
          <t>Overall weighted score is 3.32/5 across 53 scored criteria, indicating the current automation baseline.</t>
        </is>
      </c>
      <c r="I24" t="inlineStr">
        <is>
          <t>As a result, Overall weighted score is 3 keeps the program on a solid foundation. Strategic clarity sets the tone for future testing, innovation, and stakeholder trust.</t>
        </is>
      </c>
      <c r="J24" t="inlineStr">
        <is>
          <t>ACTION: Protect and scale Socialize a phased roadmap that sequences foundational fixes before advanced expansion.</t>
        </is>
      </c>
      <c r="K24" t="inlineStr">
        <is>
          <t>Overall weighted score is 3.32/5 across 53 scored criteria, indicating the current automation baseline. This means Strategies continues to perform and reinforces a solid foundation Data: Overall weighted score is 3.32/5 across 53 scored criteria, indicating the current automation baseline This means As a result, Overall weighted score is 3 keeps the program on a solid foundation. Strategic clarity sets the tone for future testing, innovation, and stakeholder trust. ACTION: Protect and scale Socialize a phased roadmap that sequences foundational fixes before advanced expansion.</t>
        </is>
      </c>
      <c r="L24" t="inlineStr">
        <is>
          <t>M</t>
        </is>
      </c>
      <c r="M24" t="inlineStr">
        <is>
          <t>3</t>
        </is>
      </c>
      <c r="N24" t="inlineStr">
        <is>
          <t>Key Theme – Strategies</t>
        </is>
      </c>
    </row>
    <row r="25">
      <c r="A25" t="inlineStr">
        <is>
          <t>Executive Insights</t>
        </is>
      </c>
      <c r="B25" t="inlineStr">
        <is>
          <t>Asset Management</t>
        </is>
      </c>
      <c r="C25" t="inlineStr">
        <is>
          <t>Structure &amp; Hygiene</t>
        </is>
      </c>
      <c r="D25" t="inlineStr">
        <is>
          <t>Strength</t>
        </is>
      </c>
      <c r="E25" t="inlineStr">
        <is>
          <t>Theme</t>
        </is>
      </c>
      <c r="F25" t="inlineStr">
        <is>
          <t>Bid Strategy &amp; Budgets</t>
        </is>
      </c>
      <c r="G25" t="inlineStr">
        <is>
          <t>Consolidated Smart Bidding structure: 68/68 campaigns (100.0%) contain multiple match types, while Smart Bidding adoption is 87% with 9 manual campaigns still in rotation. This means Bid Strategy &amp; Budgets continues to perform and reinforces a solid foundation.</t>
        </is>
      </c>
      <c r="H25" t="inlineStr">
        <is>
          <t>Consolidated Smart Bidding structure: 68/68 campaigns (100.0%) contain multiple match types, while Smart Bidding adoption is 87% with 9 manual campaigns still in rotation. 0 campaigns still isolate match types and should be collapsed.</t>
        </is>
      </c>
      <c r="I25" t="inlineStr">
        <is>
          <t>As a result, Consolidated Smart Bidding structure: 68/68 campaigns (100 keeps the program on a solid foundation. Impacts scalability and controllable growth because structure dictates how budgets and optimizations flow.</t>
        </is>
      </c>
      <c r="J25" t="inlineStr">
        <is>
          <t>ACTION: Protect and scale Rebalance campaigns/ad groups so structure mirrors intent tiers and bidding needs.</t>
        </is>
      </c>
      <c r="K25" t="inlineStr">
        <is>
          <t>Consolidated Smart Bidding structure: 68/68 campaigns (100.0%) contain multiple match types, while Smart Bidding adoption is 87% with 9 manual campaigns still in rotation. This means Bid Strategy &amp; Budgets continues to perform and reinforces a solid foundation Data: Consolidated Smart Bidding structure: 68/68 campaigns (100.0%) contain multiple match types, while Smart Bidding adoption is 87% with 9 manual campaigns still in rotation. 0 campaigns still isolate match types and should be collapsed This means As a result, Consolidated Smart Bidding structure: 68/68 campaigns (100 keeps the program on a solid foundation. Impacts scalability and controllable growth because structure dictates how budgets and optimizations flow. ACTION: Protect and scale Rebalance campaigns/ad groups so structure mirrors intent tiers and bidding needs.</t>
        </is>
      </c>
      <c r="L25" t="inlineStr">
        <is>
          <t>M</t>
        </is>
      </c>
      <c r="M25" t="inlineStr">
        <is>
          <t>1</t>
        </is>
      </c>
      <c r="N25" t="inlineStr">
        <is>
          <t>Key Theme – Bid Strategy &amp; Budgets</t>
        </is>
      </c>
    </row>
    <row r="26">
      <c r="A26" t="inlineStr">
        <is>
          <t>Executive Insights</t>
        </is>
      </c>
      <c r="B26" t="inlineStr">
        <is>
          <t>Asset Management</t>
        </is>
      </c>
      <c r="C26" t="inlineStr">
        <is>
          <t>Structure &amp; Hygiene</t>
        </is>
      </c>
      <c r="D26" t="inlineStr">
        <is>
          <t>Strength</t>
        </is>
      </c>
      <c r="E26" t="inlineStr">
        <is>
          <t>Theme</t>
        </is>
      </c>
      <c r="F26" t="inlineStr">
        <is>
          <t>Structure &amp; Hygiene</t>
        </is>
      </c>
      <c r="G26" t="inlineStr">
        <is>
          <t>Google: 37 campaigns active. This means Structure &amp; Hygiene continues to perform and reinforces a solid foundation.</t>
        </is>
      </c>
      <c r="H26" t="inlineStr">
        <is>
          <t>Google: 37 campaigns active</t>
        </is>
      </c>
      <c r="I26" t="inlineStr">
        <is>
          <t>As a result, Google: 37 campaigns active keeps the program on a solid foundation. Impacts scalability and controllable growth because structure dictates how budgets and optimizations flow.</t>
        </is>
      </c>
      <c r="J26" t="inlineStr">
        <is>
          <t>ACTION: Protect and scale Rebalance campaigns/ad groups so structure mirrors intent tiers and bidding needs.</t>
        </is>
      </c>
      <c r="K26" t="inlineStr">
        <is>
          <t>Google: 37 campaigns active. This means Structure &amp; Hygiene continues to perform and reinforces a solid foundation Data: Google: 37 campaigns active This means As a result, Google: 37 campaigns active keeps the program on a solid foundation. Impacts scalability and controllable growth because structure dictates how budgets and optimizations flow. ACTION: Protect and scale Rebalance campaigns/ad groups so structure mirrors intent tiers and bidding needs.</t>
        </is>
      </c>
      <c r="L26" t="inlineStr">
        <is>
          <t>M</t>
        </is>
      </c>
      <c r="M26" t="inlineStr">
        <is>
          <t>1</t>
        </is>
      </c>
      <c r="N26" t="inlineStr">
        <is>
          <t>Key Theme – Structure &amp; Hygiene</t>
        </is>
      </c>
    </row>
    <row r="27">
      <c r="A27" t="inlineStr">
        <is>
          <t>Executive Insights</t>
        </is>
      </c>
      <c r="B27" t="inlineStr">
        <is>
          <t>Asset Management</t>
        </is>
      </c>
      <c r="C27" t="inlineStr">
        <is>
          <t>Structure &amp; Hygiene</t>
        </is>
      </c>
      <c r="D27" t="inlineStr">
        <is>
          <t>Opportunity</t>
        </is>
      </c>
      <c r="E27" t="inlineStr">
        <is>
          <t>Theme</t>
        </is>
      </c>
      <c r="F27" t="inlineStr">
        <is>
          <t>Upper Funnel &amp; Cross-Channel</t>
        </is>
      </c>
      <c r="G27" t="inlineStr">
        <is>
          <t>None: 0 PMAX campaigns (0.0% of Google campaigns). This means Upper Funnel &amp; Cross-Channel needs reinforcement and signals where we need to tighten execution.</t>
        </is>
      </c>
      <c r="H27" t="inlineStr">
        <is>
          <t>None: 0 PMAX campaigns (0.0% of Google campaigns)</t>
        </is>
      </c>
      <c r="I27" t="inlineStr">
        <is>
          <t>This limits our ability to scale because none: 0 pmax campaigns (0. Impacts scalability and controllable growth because structure dictates how budgets and optimizations flow.</t>
        </is>
      </c>
      <c r="J27" t="inlineStr">
        <is>
          <t>ACTION: Rebalance campaigns/ad groups so structure mirrors intent tiers and bidding needs.</t>
        </is>
      </c>
      <c r="K27" t="inlineStr">
        <is>
          <t>None: 0 PMAX campaigns (0.0% of Google campaigns). This means Upper Funnel &amp; Cross-Channel needs reinforcement and signals where we need to tighten execution Data: None: 0 PMAX campaigns (0.0% of Google campaigns) This means This limits our ability to scale because none: 0 pmax campaigns (0. Impacts scalability and controllable growth because structure dictates how budgets and optimizations flow. ACTION: Rebalance campaigns/ad groups so structure mirrors intent tiers and bidding needs.</t>
        </is>
      </c>
      <c r="L27" t="inlineStr">
        <is>
          <t>H</t>
        </is>
      </c>
      <c r="M27" t="inlineStr">
        <is>
          <t>1</t>
        </is>
      </c>
      <c r="N27" t="inlineStr">
        <is>
          <t>Key Theme – Upper Funnel &amp; Cross-Channel</t>
        </is>
      </c>
    </row>
    <row r="28">
      <c r="A28" t="inlineStr">
        <is>
          <t>Executive Insights</t>
        </is>
      </c>
      <c r="B28" t="inlineStr">
        <is>
          <t>Asset Management</t>
        </is>
      </c>
      <c r="C28" t="inlineStr">
        <is>
          <t>Ads &amp; Creative</t>
        </is>
      </c>
      <c r="D28" t="inlineStr">
        <is>
          <t>Opportunity</t>
        </is>
      </c>
      <c r="E28" t="inlineStr">
        <is>
          <t>Theme</t>
        </is>
      </c>
      <c r="F28" t="inlineStr">
        <is>
          <t>Ads &amp; Creative</t>
        </is>
      </c>
      <c r="G28" t="inlineStr">
        <is>
          <t>Very low: 3.4% of ad text includes unique selling propositions (USPs). This means Ads &amp; Creative needs reinforcement and signals where we need to tighten execution.</t>
        </is>
      </c>
      <c r="H28" t="inlineStr">
        <is>
          <t>Very low: 3.4% of ad text includes unique selling propositions (USPs)</t>
        </is>
      </c>
      <c r="I28" t="inlineStr">
        <is>
          <t>This limits our ability to scale because very low: 3. Directly influences CTR and conversion rate, shaping the cost to acquire qualified traffic.</t>
        </is>
      </c>
      <c r="J28" t="inlineStr">
        <is>
          <t>ACTION: Refresh RSA assets with clearer value props and rotate winning headlines across LOBs.</t>
        </is>
      </c>
      <c r="K28" t="inlineStr">
        <is>
          <t>Very low: 3.4% of ad text includes unique selling propositions (USPs). This means Ads &amp; Creative needs reinforcement and signals where we need to tighten execution Data: Very low: 3.4% of ad text includes unique selling propositions (USPs) This means This limits our ability to scale because very low: 3. Directly influences CTR and conversion rate, shaping the cost to acquire qualified traffic. ACTION: Refresh RSA assets with clearer value props and rotate winning headlines across LOBs.</t>
        </is>
      </c>
      <c r="L28" t="inlineStr">
        <is>
          <t>M</t>
        </is>
      </c>
      <c r="M28" t="inlineStr">
        <is>
          <t>2</t>
        </is>
      </c>
      <c r="N28" t="inlineStr">
        <is>
          <t>Key Theme – Ads &amp; Creative</t>
        </is>
      </c>
    </row>
    <row r="29">
      <c r="A29" t="inlineStr">
        <is>
          <t>LOB Deep Dive</t>
        </is>
      </c>
      <c r="B29" t="inlineStr">
        <is>
          <t>Asset Management</t>
        </is>
      </c>
      <c r="C29" t="inlineStr">
        <is>
          <t>Strategies</t>
        </is>
      </c>
      <c r="D29" t="inlineStr">
        <is>
          <t>Strength</t>
        </is>
      </c>
      <c r="E29" t="inlineStr">
        <is>
          <t>Detail</t>
        </is>
      </c>
      <c r="F29" t="inlineStr">
        <is>
          <t>Strategies</t>
        </is>
      </c>
      <c r="G29" t="inlineStr">
        <is>
          <t>Overall weighted score is 3.32/5 across 53 scored criteria, indicating the current automation baseline. This means Overall maturity snapshot and reinforces a solid foundation.</t>
        </is>
      </c>
      <c r="H29" t="inlineStr">
        <is>
          <t>Overall weighted score is 3.32/5 across 53 scored criteria, indicating the current automation baseline.</t>
        </is>
      </c>
      <c r="I29" t="inlineStr">
        <is>
          <t>As a result, Overall weighted score is 3 keeps the program on a solid foundation. Strategic clarity sets the tone for future testing, innovation, and stakeholder trust.</t>
        </is>
      </c>
      <c r="J29" t="inlineStr">
        <is>
          <t>ACTION: Protect and scale Socialize a phased roadmap that sequences foundational fixes before advanced expansion.</t>
        </is>
      </c>
      <c r="K29" t="inlineStr">
        <is>
          <t>Overall weighted score is 3.32/5 across 53 scored criteria, indicating the current automation baseline. This means Overall maturity snapshot and reinforces a solid foundation Data: Overall weighted score is 3.32/5 across 53 scored criteria, indicating the current automation baseline This means As a result, Overall weighted score is 3 keeps the program on a solid foundation. Strategic clarity sets the tone for future testing, innovation, and stakeholder trust. ACTION: Protect and scale Socialize a phased roadmap that sequences foundational fixes before advanced expansion.</t>
        </is>
      </c>
      <c r="L29" t="inlineStr">
        <is>
          <t>M</t>
        </is>
      </c>
      <c r="M29" t="inlineStr">
        <is>
          <t>3</t>
        </is>
      </c>
      <c r="N29" t="inlineStr">
        <is>
          <t>Asset Management – Strength (Strategies)</t>
        </is>
      </c>
    </row>
    <row r="30">
      <c r="A30" t="inlineStr">
        <is>
          <t>LOB Deep Dive</t>
        </is>
      </c>
      <c r="B30" t="inlineStr">
        <is>
          <t>Asset Management</t>
        </is>
      </c>
      <c r="C30" t="inlineStr">
        <is>
          <t>Structure &amp; Hygiene</t>
        </is>
      </c>
      <c r="D30" t="inlineStr">
        <is>
          <t>Strength</t>
        </is>
      </c>
      <c r="E30" t="inlineStr">
        <is>
          <t>Detail</t>
        </is>
      </c>
      <c r="F30" t="inlineStr">
        <is>
          <t>Bid Strategy &amp; Budgets</t>
        </is>
      </c>
      <c r="G30" t="inlineStr">
        <is>
          <t>Consolidated Smart Bidding structure: 68/68 campaigns (100.0%) contain multiple match types, while Smart Bidding adoption is 87% with 9 manual campaigns still in rotation. This means Campaigns split by match type? and…</t>
        </is>
      </c>
      <c r="H30" t="inlineStr">
        <is>
          <t>Consolidated Smart Bidding structure: 68/68 campaigns (100.0%) contain multiple match types, while Smart Bidding adoption is 87% with 9 manual campaigns still in rotation. 0 campaigns still isolate match types and should be collapsed.</t>
        </is>
      </c>
      <c r="I30" t="inlineStr">
        <is>
          <t>As a result, Consolidated Smart Bidding structure: 68/68 campaigns (100 keeps the program on a solid foundation. Impacts scalability and controllable growth because structure dictates how budgets and optimizations flow.</t>
        </is>
      </c>
      <c r="J30" t="inlineStr">
        <is>
          <t>ACTION: Protect and scale Rebalance campaigns/ad groups so structure mirrors intent tiers and bidding needs.</t>
        </is>
      </c>
      <c r="K30" t="inlineStr">
        <is>
          <t>Consolidated Smart Bidding structure: 68/68 campaigns (100.0%) contain multiple match types, while Smart Bidding adoption is 87% with 9 manual campaigns still in rotation. This means Campaigns split by match type? and… Data: Consolidated Smart Bidding structure: 68/68 campaigns (100.0%) contain multiple match types, while Smart Bidding adoption is 87% with 9 manual campaigns still in rotation. 0 campaigns still isolate match types and should be collapsed This means As a result, Consolidated Smart Bidding structure: 68/68 campaigns (100 keeps the program on a solid foundation. Impacts scalability and controllable growth because structure dictates how budgets and optimizations flow. ACTION: Protect and scale Rebalance campaigns/ad groups so structure mirrors intent tiers and bidding needs.</t>
        </is>
      </c>
      <c r="L30" t="inlineStr">
        <is>
          <t>M</t>
        </is>
      </c>
      <c r="M30" t="inlineStr">
        <is>
          <t>1</t>
        </is>
      </c>
      <c r="N30" t="inlineStr">
        <is>
          <t>Asset Management – Strength (Structure &amp; Hygiene)</t>
        </is>
      </c>
    </row>
    <row r="31">
      <c r="A31" t="inlineStr">
        <is>
          <t>LOB Deep Dive</t>
        </is>
      </c>
      <c r="B31" t="inlineStr">
        <is>
          <t>Asset Management</t>
        </is>
      </c>
      <c r="C31" t="inlineStr">
        <is>
          <t>Structure &amp; Hygiene</t>
        </is>
      </c>
      <c r="D31" t="inlineStr">
        <is>
          <t>Strength</t>
        </is>
      </c>
      <c r="E31" t="inlineStr">
        <is>
          <t>Detail</t>
        </is>
      </c>
      <c r="F31" t="inlineStr">
        <is>
          <t>Structure &amp; Hygiene</t>
        </is>
      </c>
      <c r="G31" t="inlineStr">
        <is>
          <t>Google: 37 campaigns active. This means Account active in all engines - Google and reinforces a solid foundation.</t>
        </is>
      </c>
      <c r="H31" t="inlineStr">
        <is>
          <t>Google: 37 campaigns active</t>
        </is>
      </c>
      <c r="I31" t="inlineStr">
        <is>
          <t>As a result, Google: 37 campaigns active keeps the program on a solid foundation. Impacts scalability and controllable growth because structure dictates how budgets and optimizations flow.</t>
        </is>
      </c>
      <c r="J31" t="inlineStr">
        <is>
          <t>ACTION: Protect and scale Rebalance campaigns/ad groups so structure mirrors intent tiers and bidding needs.</t>
        </is>
      </c>
      <c r="K31" t="inlineStr">
        <is>
          <t>Google: 37 campaigns active. This means Account active in all engines - Google and reinforces a solid foundation Data: Google: 37 campaigns active This means As a result, Google: 37 campaigns active keeps the program on a solid foundation. Impacts scalability and controllable growth because structure dictates how budgets and optimizations flow. ACTION: Protect and scale Rebalance campaigns/ad groups so structure mirrors intent tiers and bidding needs.</t>
        </is>
      </c>
      <c r="L31" t="inlineStr">
        <is>
          <t>M</t>
        </is>
      </c>
      <c r="M31" t="inlineStr">
        <is>
          <t>1</t>
        </is>
      </c>
      <c r="N31" t="inlineStr">
        <is>
          <t>Asset Management – Strength (Structure &amp; Hygiene)</t>
        </is>
      </c>
    </row>
    <row r="32">
      <c r="A32" t="inlineStr">
        <is>
          <t>Roadmap &amp; Phasing</t>
        </is>
      </c>
      <c r="B32" t="inlineStr">
        <is>
          <t>Asset Management</t>
        </is>
      </c>
      <c r="C32" t="inlineStr">
        <is>
          <t>Structure &amp; Hygiene</t>
        </is>
      </c>
      <c r="D32" t="inlineStr">
        <is>
          <t>Opportunity</t>
        </is>
      </c>
      <c r="E32" t="inlineStr">
        <is>
          <t>Detail</t>
        </is>
      </c>
      <c r="F32" t="inlineStr">
        <is>
          <t>Upper Funnel &amp; Cross-Channel</t>
        </is>
      </c>
      <c r="G32" t="inlineStr">
        <is>
          <t>None: 0 PMAX campaigns (0.0% of Google campaigns). This means PMAX within account and signals where we need to tighten execution.</t>
        </is>
      </c>
      <c r="H32" t="inlineStr">
        <is>
          <t>None: 0 PMAX campaigns (0.0% of Google campaigns)</t>
        </is>
      </c>
      <c r="I32" t="inlineStr">
        <is>
          <t>This limits our ability to scale because none: 0 pmax campaigns (0. Impacts scalability and controllable growth because structure dictates how budgets and optimizations flow.</t>
        </is>
      </c>
      <c r="J32" t="inlineStr">
        <is>
          <t>ACTION: Rebalance campaigns/ad groups so structure mirrors intent tiers and bidding needs.</t>
        </is>
      </c>
      <c r="K32" t="inlineStr">
        <is>
          <t>None: 0 PMAX campaigns (0.0% of Google campaigns). This means PMAX within account and signals where we need to tighten execution Data: None: 0 PMAX campaigns (0.0% of Google campaigns) This means This limits our ability to scale because none: 0 pmax campaigns (0. Impacts scalability and controllable growth because structure dictates how budgets and optimizations flow. ACTION: Rebalance campaigns/ad groups so structure mirrors intent tiers and bidding needs.</t>
        </is>
      </c>
      <c r="L32" t="inlineStr">
        <is>
          <t>H</t>
        </is>
      </c>
      <c r="M32" t="inlineStr">
        <is>
          <t>1</t>
        </is>
      </c>
      <c r="N32" t="inlineStr">
        <is>
          <t>Asset Management – Opportunity (Structure &amp; Hygiene)</t>
        </is>
      </c>
    </row>
    <row r="33">
      <c r="A33" t="inlineStr">
        <is>
          <t>Roadmap &amp; Phasing</t>
        </is>
      </c>
      <c r="B33" t="inlineStr">
        <is>
          <t>Asset Management</t>
        </is>
      </c>
      <c r="C33" t="inlineStr">
        <is>
          <t>Ads &amp; Creative</t>
        </is>
      </c>
      <c r="D33" t="inlineStr">
        <is>
          <t>Opportunity</t>
        </is>
      </c>
      <c r="E33" t="inlineStr">
        <is>
          <t>Detail</t>
        </is>
      </c>
      <c r="F33" t="inlineStr">
        <is>
          <t>Ads &amp; Creative</t>
        </is>
      </c>
      <c r="G33" t="inlineStr">
        <is>
          <t>Very low: 3.4% of ad text includes unique selling propositions (USPs). This means Does copy include USPs (Unique selling proposition)? and signals where we need to tighten execution.</t>
        </is>
      </c>
      <c r="H33" t="inlineStr">
        <is>
          <t>Very low: 3.4% of ad text includes unique selling propositions (USPs)</t>
        </is>
      </c>
      <c r="I33" t="inlineStr">
        <is>
          <t>This limits our ability to scale because very low: 3. Directly influences CTR and conversion rate, shaping the cost to acquire qualified traffic.</t>
        </is>
      </c>
      <c r="J33" t="inlineStr">
        <is>
          <t>ACTION: Refresh RSA assets with clearer value props and rotate winning headlines across LOBs.</t>
        </is>
      </c>
      <c r="K33" t="inlineStr">
        <is>
          <t>Very low: 3.4% of ad text includes unique selling propositions (USPs). This means Does copy include USPs (Unique selling proposition)? and signals where we need to tighten execution Data: Very low: 3.4% of ad text includes unique selling propositions (USPs) This means This limits our ability to scale because very low: 3. Directly influences CTR and conversion rate, shaping the cost to acquire qualified traffic. ACTION: Refresh RSA assets with clearer value props and rotate winning headlines across LOBs.</t>
        </is>
      </c>
      <c r="L33" t="inlineStr">
        <is>
          <t>M</t>
        </is>
      </c>
      <c r="M33" t="inlineStr">
        <is>
          <t>2</t>
        </is>
      </c>
      <c r="N33" t="inlineStr">
        <is>
          <t>Asset Management – Opportunity (Ads &amp; Creative)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Kelvin Le</dc:creator>
  <dc:title xmlns:dc="http://purl.org/dc/elements/1.1/">Havas Accelerate SEM Audit Template - Fidelity</dc:title>
  <dcterms:created xmlns:dcterms="http://purl.org/dc/terms/" xmlns:xsi="http://www.w3.org/2001/XMLSchema-instance" xsi:type="dcterms:W3CDTF">2021-08-25T22:32:12Z</dcterms:created>
  <dcterms:modified xmlns:dcterms="http://purl.org/dc/terms/" xmlns:xsi="http://www.w3.org/2001/XMLSchema-instance" xsi:type="dcterms:W3CDTF">2026-01-28T02:59:03Z</dcterms:modified>
  <cp:lastModifiedBy>Kelvin Le</cp:lastModifiedBy>
</cp:coreProperties>
</file>