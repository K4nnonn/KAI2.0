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Havas Accelerate SEM" sheetId="1" state="visible" r:id="rId1"/>
  </sheets>
  <definedNames>
    <definedName name="_xlnm.Print_Area" localSheetId="0">'Havas Accelerate SEM'!$A$1:$H$99</definedName>
  </definedNames>
  <calcPr calcId="19102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
      <sz val="14"/>
      <scheme val="minor"/>
    </font>
    <font>
      <name val="Calibri"/>
      <family val="2"/>
      <b val="1"/>
      <color theme="1"/>
      <sz val="14"/>
      <scheme val="minor"/>
    </font>
    <font>
      <name val="Calibri"/>
      <family val="2"/>
      <color theme="1"/>
      <sz val="10"/>
      <scheme val="minor"/>
    </font>
    <font>
      <name val="Calibri"/>
      <family val="2"/>
      <b val="1"/>
      <color theme="0"/>
      <sz val="14"/>
      <scheme val="minor"/>
    </font>
    <font>
      <name val="Calibri"/>
      <family val="2"/>
      <b val="1"/>
      <color theme="0"/>
      <sz val="20"/>
      <scheme val="minor"/>
    </font>
    <font>
      <name val="Calibri"/>
      <family val="2"/>
      <sz val="11"/>
      <scheme val="minor"/>
    </font>
    <font>
      <name val="Calibri"/>
      <family val="2"/>
      <b val="1"/>
      <color theme="0"/>
      <sz val="11"/>
      <scheme val="minor"/>
    </font>
    <font>
      <name val="Calibri"/>
      <family val="2"/>
      <color rgb="FF999999"/>
      <sz val="8"/>
    </font>
    <font>
      <name val="Segoe UI"/>
      <family val="2"/>
      <b val="1"/>
      <color rgb="FFCCCCCC"/>
      <sz val="7"/>
    </font>
    <font>
      <name val="Calibri"/>
      <b val="1"/>
      <sz val="14"/>
    </font>
    <font>
      <name val="Calibri"/>
      <family val="2"/>
      <color theme="1"/>
      <sz val="16"/>
      <scheme val="minor"/>
    </font>
  </fonts>
  <fills count="10">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8"/>
        <bgColor indexed="64"/>
      </patternFill>
    </fill>
    <fill>
      <patternFill patternType="solid">
        <fgColor theme="8" tint="0.7999816888943144"/>
        <bgColor indexed="64"/>
      </patternFill>
    </fill>
    <fill>
      <patternFill patternType="solid">
        <fgColor theme="0" tint="-0.499984740745262"/>
        <bgColor indexed="64"/>
      </patternFill>
    </fill>
    <fill>
      <patternFill patternType="solid">
        <fgColor theme="4"/>
        <bgColor indexed="64"/>
      </patternFill>
    </fill>
    <fill>
      <patternFill patternType="solid">
        <fgColor rgb="FF002060"/>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2">
    <xf numFmtId="0" fontId="1" fillId="0" borderId="0"/>
    <xf numFmtId="9" fontId="1" fillId="0" borderId="0"/>
  </cellStyleXfs>
  <cellXfs count="68">
    <xf numFmtId="0" fontId="0" fillId="0" borderId="0" pivotButton="0" quotePrefix="0" xfId="0"/>
    <xf numFmtId="0" fontId="0" fillId="2" borderId="0" pivotButton="0" quotePrefix="0" xfId="0"/>
    <xf numFmtId="0" fontId="3" fillId="2" borderId="0" applyAlignment="1" pivotButton="0" quotePrefix="0" xfId="0">
      <alignment vertical="center"/>
    </xf>
    <xf numFmtId="0" fontId="0" fillId="2" borderId="0" applyAlignment="1" pivotButton="0" quotePrefix="0" xfId="0">
      <alignment vertical="center"/>
    </xf>
    <xf numFmtId="0" fontId="0" fillId="2" borderId="0" applyAlignment="1" pivotButton="0" quotePrefix="0" xfId="0">
      <alignment horizontal="center" vertical="center"/>
    </xf>
    <xf numFmtId="0" fontId="0" fillId="2" borderId="0" applyAlignment="1" pivotButton="0" quotePrefix="0" xfId="0">
      <alignment horizontal="left" vertical="center"/>
    </xf>
    <xf numFmtId="0" fontId="0" fillId="2" borderId="0" applyAlignment="1" pivotButton="0" quotePrefix="0" xfId="0">
      <alignment horizontal="left" vertical="center" wrapText="1"/>
    </xf>
    <xf numFmtId="0" fontId="0" fillId="2" borderId="2" applyAlignment="1" pivotButton="0" quotePrefix="0" xfId="0">
      <alignment vertical="center"/>
    </xf>
    <xf numFmtId="0" fontId="0" fillId="2" borderId="2" applyAlignment="1" pivotButton="0" quotePrefix="0" xfId="0">
      <alignment horizontal="center" vertical="top"/>
    </xf>
    <xf numFmtId="0" fontId="0" fillId="2" borderId="2" applyAlignment="1" pivotButton="0" quotePrefix="0" xfId="0">
      <alignment horizontal="left" vertical="center"/>
    </xf>
    <xf numFmtId="0" fontId="0" fillId="2" borderId="2"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top"/>
    </xf>
    <xf numFmtId="0" fontId="2" fillId="4" borderId="2" applyAlignment="1" pivotButton="0" quotePrefix="0" xfId="0">
      <alignment vertical="center"/>
    </xf>
    <xf numFmtId="164" fontId="2" fillId="4" borderId="2" applyAlignment="1" pivotButton="0" quotePrefix="0" xfId="0">
      <alignment horizontal="center" vertical="center"/>
    </xf>
    <xf numFmtId="0" fontId="2" fillId="4" borderId="2" applyAlignment="1" pivotButton="0" quotePrefix="0" xfId="0">
      <alignment horizontal="left" vertical="center"/>
    </xf>
    <xf numFmtId="0" fontId="2" fillId="2" borderId="0" pivotButton="0" quotePrefix="0" xfId="0"/>
    <xf numFmtId="0" fontId="0" fillId="4"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2" pivotButton="0" quotePrefix="0" xfId="0"/>
    <xf numFmtId="0" fontId="8" fillId="2" borderId="2" applyAlignment="1" pivotButton="0" quotePrefix="0" xfId="0">
      <alignment vertical="center"/>
    </xf>
    <xf numFmtId="0" fontId="0" fillId="4" borderId="2" applyAlignment="1" pivotButton="0" quotePrefix="0" xfId="0">
      <alignment vertical="center" wrapText="1"/>
    </xf>
    <xf numFmtId="0" fontId="8" fillId="2" borderId="2" applyAlignment="1" pivotButton="0" quotePrefix="0" xfId="0">
      <alignment horizontal="left" vertical="center" wrapText="1"/>
    </xf>
    <xf numFmtId="0" fontId="0" fillId="2" borderId="2" applyAlignment="1" pivotButton="0" quotePrefix="0" xfId="0">
      <alignment vertical="center" wrapText="1"/>
    </xf>
    <xf numFmtId="0" fontId="0" fillId="2" borderId="2" applyAlignment="1" pivotButton="0" quotePrefix="0" xfId="0">
      <alignment horizontal="center" vertical="center" wrapText="1"/>
    </xf>
    <xf numFmtId="0" fontId="2" fillId="4" borderId="2" applyAlignment="1" pivotButton="0" quotePrefix="0" xfId="0">
      <alignment horizontal="left" vertical="center" wrapText="1"/>
    </xf>
    <xf numFmtId="0" fontId="2" fillId="4" borderId="5" applyAlignment="1" pivotButton="0" quotePrefix="0" xfId="0">
      <alignment vertical="center"/>
    </xf>
    <xf numFmtId="0" fontId="0" fillId="2" borderId="5" applyAlignment="1" pivotButton="0" quotePrefix="0" xfId="0">
      <alignment vertical="center"/>
    </xf>
    <xf numFmtId="0" fontId="3" fillId="0" borderId="2" applyAlignment="1" pivotButton="0" quotePrefix="0" xfId="0">
      <alignment vertical="center"/>
    </xf>
    <xf numFmtId="164" fontId="0" fillId="2" borderId="2" applyAlignment="1" pivotButton="0" quotePrefix="0" xfId="0">
      <alignment vertical="center"/>
    </xf>
    <xf numFmtId="9" fontId="0" fillId="2" borderId="0" applyAlignment="1" pivotButton="0" quotePrefix="0" xfId="1">
      <alignment horizontal="center" vertical="center"/>
    </xf>
    <xf numFmtId="0" fontId="3" fillId="2" borderId="2" applyAlignment="1" pivotButton="0" quotePrefix="0" xfId="0">
      <alignment vertical="center"/>
    </xf>
    <xf numFmtId="9" fontId="3" fillId="2" borderId="0" applyAlignment="1" pivotButton="0" quotePrefix="0" xfId="0">
      <alignment vertical="center"/>
    </xf>
    <xf numFmtId="0" fontId="3" fillId="2" borderId="0" applyAlignment="1" pivotButton="0" quotePrefix="0" xfId="0">
      <alignment horizontal="center" vertical="center"/>
    </xf>
    <xf numFmtId="164" fontId="6" fillId="5" borderId="2" applyAlignment="1" pivotButton="0" quotePrefix="0" xfId="0">
      <alignment horizontal="center" vertical="center"/>
    </xf>
    <xf numFmtId="0" fontId="6" fillId="5" borderId="2" applyAlignment="1" pivotButton="0" quotePrefix="0" xfId="0">
      <alignment horizontal="center" vertical="center"/>
    </xf>
    <xf numFmtId="164" fontId="9" fillId="5" borderId="2" applyAlignment="1" pivotButton="0" quotePrefix="0" xfId="0">
      <alignment horizontal="center" vertical="center"/>
    </xf>
    <xf numFmtId="0" fontId="6" fillId="9" borderId="2" applyAlignment="1" pivotButton="0" quotePrefix="0" xfId="0">
      <alignment horizontal="center" vertical="center"/>
    </xf>
    <xf numFmtId="0" fontId="4" fillId="6" borderId="2" applyAlignment="1" pivotButton="0" quotePrefix="0" xfId="0">
      <alignment horizontal="center" vertical="center"/>
    </xf>
    <xf numFmtId="0" fontId="0" fillId="0" borderId="3" pivotButton="0" quotePrefix="0" xfId="0"/>
    <xf numFmtId="0" fontId="0" fillId="0" borderId="4" pivotButton="0" quotePrefix="0" xfId="0"/>
    <xf numFmtId="0" fontId="4" fillId="6" borderId="1" applyAlignment="1" pivotButton="0" quotePrefix="0" xfId="0">
      <alignment horizontal="center" vertical="center"/>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4" fillId="2" borderId="2" applyAlignment="1" pivotButton="0" quotePrefix="0" xfId="0">
      <alignment horizontal="center" vertical="center"/>
    </xf>
    <xf numFmtId="0" fontId="4" fillId="3" borderId="2" applyAlignment="1" pivotButton="0" quotePrefix="0" xfId="0">
      <alignment horizontal="center" vertical="center"/>
    </xf>
    <xf numFmtId="0" fontId="10" fillId="0" borderId="0" pivotButton="0" quotePrefix="0" xfId="0"/>
    <xf numFmtId="0" fontId="11" fillId="0" borderId="0" pivotButton="0" quotePrefix="0" xfId="0"/>
    <xf numFmtId="0" fontId="0" fillId="2" borderId="0" applyAlignment="1" pivotButton="0" quotePrefix="0" xfId="0">
      <alignment wrapText="1"/>
    </xf>
    <xf numFmtId="0" fontId="5" fillId="2" borderId="0" applyAlignment="1" pivotButton="0" quotePrefix="0" xfId="0">
      <alignment horizontal="left" vertical="top" wrapText="1"/>
    </xf>
    <xf numFmtId="0" fontId="6" fillId="9" borderId="2" applyAlignment="1" pivotButton="0" quotePrefix="0" xfId="0">
      <alignment horizontal="center" vertical="center" wrapText="1"/>
    </xf>
    <xf numFmtId="0" fontId="0" fillId="2" borderId="2" applyAlignment="1" pivotButton="0" quotePrefix="0" xfId="0">
      <alignment wrapText="1"/>
    </xf>
    <xf numFmtId="0" fontId="2" fillId="4" borderId="2" applyAlignment="1" pivotButton="0" quotePrefix="0" xfId="0">
      <alignment vertical="center" wrapText="1"/>
    </xf>
    <xf numFmtId="0" fontId="0" fillId="0" borderId="0" applyAlignment="1" pivotButton="0" quotePrefix="0" xfId="0">
      <alignment wrapText="1"/>
    </xf>
    <xf numFmtId="1" fontId="0" fillId="2" borderId="0" applyAlignment="1" pivotButton="0" quotePrefix="0" xfId="1">
      <alignment horizontal="left" vertical="center" wrapText="1"/>
    </xf>
    <xf numFmtId="0" fontId="12" fillId="0" borderId="0" pivotButton="0" quotePrefix="0" xfId="0"/>
    <xf numFmtId="0" fontId="1" fillId="4" borderId="2" applyAlignment="1" pivotButton="0" quotePrefix="0" xfId="0">
      <alignment horizontal="left" vertical="center" wrapText="1"/>
    </xf>
    <xf numFmtId="0" fontId="1" fillId="2" borderId="2" applyAlignment="1" pivotButton="0" quotePrefix="0" xfId="0">
      <alignment horizontal="left" vertical="center" wrapText="1"/>
    </xf>
    <xf numFmtId="0" fontId="1" fillId="4" borderId="2" applyAlignment="1" pivotButton="0" quotePrefix="0" xfId="0">
      <alignment vertical="center" wrapText="1"/>
    </xf>
    <xf numFmtId="0" fontId="2" fillId="2" borderId="0" pivotButton="0" quotePrefix="0" xfId="0"/>
    <xf numFmtId="0" fontId="0" fillId="2" borderId="0" pivotButton="0" quotePrefix="0" xfId="0"/>
    <xf numFmtId="0" fontId="0" fillId="0" borderId="3" pivotButton="0" quotePrefix="0" xfId="0"/>
    <xf numFmtId="0" fontId="7" fillId="8" borderId="2" applyAlignment="1" pivotButton="0" quotePrefix="0" xfId="0">
      <alignment horizontal="center" vertical="center" textRotation="90"/>
    </xf>
    <xf numFmtId="0" fontId="0" fillId="0" borderId="4" pivotButton="0" quotePrefix="0" xfId="0"/>
    <xf numFmtId="0" fontId="7" fillId="7" borderId="2" applyAlignment="1" pivotButton="0" quotePrefix="0" xfId="0">
      <alignment horizontal="center" vertical="center" textRotation="90" wrapText="1"/>
    </xf>
    <xf numFmtId="0" fontId="7" fillId="5" borderId="1" applyAlignment="1" pivotButton="0" quotePrefix="0" xfId="0">
      <alignment horizontal="center" vertical="center" textRotation="90" wrapText="1"/>
    </xf>
    <xf numFmtId="0" fontId="3" fillId="2" borderId="0" applyAlignment="1" pivotButton="0" quotePrefix="0" xfId="0">
      <alignment vertical="center"/>
    </xf>
    <xf numFmtId="164" fontId="13" fillId="2" borderId="2" applyAlignment="1" pivotButton="0" quotePrefix="0" xfId="0">
      <alignment horizontal="center" vertical="center"/>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800" b="1" i="0" strike="noStrike" kern="1200" spc="0" baseline="0">
                <a:solidFill>
                  <a:schemeClr val="tx1">
                    <a:lumMod val="65000"/>
                    <a:lumOff val="35000"/>
                  </a:schemeClr>
                </a:solidFill>
                <a:latin typeface="+mn-lt"/>
                <a:ea typeface="+mn-ea"/>
                <a:cs typeface="+mn-cs"/>
              </a:defRPr>
            </a:pPr>
            <a:r>
              <a:rPr lang="en-US" sz="2800" b="1"/>
              <a:t>Audit</a:t>
            </a:r>
            <a:r>
              <a:rPr lang="en-US" sz="2800" b="1" baseline="0"/>
              <a:t xml:space="preserve"> Score</a:t>
            </a:r>
            <a:endParaRPr lang="en-US" sz="2800" b="1"/>
          </a:p>
        </rich>
      </tx>
      <overlay val="0"/>
      <spPr>
        <a:noFill xmlns:a="http://schemas.openxmlformats.org/drawingml/2006/main"/>
        <a:ln xmlns:a="http://schemas.openxmlformats.org/drawingml/2006/main">
          <a:noFill/>
          <a:prstDash val="solid"/>
        </a:ln>
      </spPr>
    </title>
    <plotArea>
      <layout/>
      <radarChart>
        <radarStyle val="marker"/>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'Havas Accelerate SEM'!$D$95:$D$99</f>
              <strCache>
                <ptCount val="5"/>
                <pt idx="0">
                  <v>Opportunity Analysis</v>
                </pt>
                <pt idx="1">
                  <v>Structure + Keyword</v>
                </pt>
                <pt idx="2">
                  <v>Ad Copy</v>
                </pt>
                <pt idx="3">
                  <v>Audiences</v>
                </pt>
                <pt idx="4">
                  <v>Tech &amp; Data Integration</v>
                </pt>
              </strCache>
            </strRef>
          </cat>
          <val>
            <numRef>
              <f>'Havas Accelerate SEM'!$E$95:$E$99</f>
              <numCache>
                <formatCode>0.0</formatCode>
                <ptCount val="5"/>
                <pt idx="0">
                  <v>0</v>
                </pt>
                <pt idx="1">
                  <v>0</v>
                </pt>
                <pt idx="2">
                  <v>0</v>
                </pt>
                <pt idx="3">
                  <v>0</v>
                </pt>
                <pt idx="4">
                  <v>0</v>
                </pt>
              </numCache>
            </numRef>
          </val>
        </ser>
        <dLbls>
          <showLegendKey val="0"/>
          <showVal val="0"/>
          <showCatName val="0"/>
          <showSerName val="0"/>
          <showPercent val="0"/>
          <showBubbleSize val="0"/>
        </dLbls>
        <axId val="1328793728"/>
        <axId val="1328793312"/>
      </radarChart>
      <catAx>
        <axId val="13287937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lumMod val="65000"/>
                    <a:lumOff val="35000"/>
                  </a:schemeClr>
                </a:solidFill>
                <a:latin typeface="+mn-lt"/>
                <a:ea typeface="+mn-ea"/>
                <a:cs typeface="+mn-cs"/>
              </a:defRPr>
            </a:pPr>
            <a:r>
              <a:t/>
            </a:r>
            <a:endParaRPr lang="en-US"/>
          </a:p>
        </txPr>
        <crossAx val="1328793312"/>
        <crosses val="autoZero"/>
        <auto val="1"/>
        <lblAlgn val="ctr"/>
        <lblOffset val="100"/>
        <noMultiLvlLbl val="0"/>
      </catAx>
      <valAx>
        <axId val="1328793312"/>
        <scaling>
          <orientation val="minMax"/>
          <max val="5"/>
          <min val="1"/>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crossAx val="1328793728"/>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png" Id="rId2"/></Relationships>
</file>

<file path=xl/drawings/drawing1.xml><?xml version="1.0" encoding="utf-8"?>
<wsDr xmlns="http://schemas.openxmlformats.org/drawingml/2006/spreadsheetDrawing">
  <twoCellAnchor>
    <from>
      <col>5</col>
      <colOff>290286</colOff>
      <row>92</row>
      <rowOff>103262</rowOff>
    </from>
    <to>
      <col>8</col>
      <colOff>471714</colOff>
      <row>110</row>
      <rowOff>170845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600075</colOff>
      <row>0</row>
      <rowOff>161925</rowOff>
    </from>
    <to>
      <col>6</col>
      <colOff>2923267</colOff>
      <row>8</row>
      <rowOff>171450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9124950" y="161925"/>
          <a:ext cx="2933700" cy="29432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F0000"/>
    <outlinePr summaryBelow="1" summaryRight="1"/>
    <pageSetUpPr fitToPage="1"/>
  </sheetPr>
  <dimension ref="A1:J116"/>
  <sheetViews>
    <sheetView showGridLines="0" tabSelected="1" topLeftCell="C1" zoomScale="70" zoomScaleNormal="70" zoomScaleSheetLayoutView="70" zoomScalePageLayoutView="75" workbookViewId="0">
      <selection activeCell="F20" sqref="F20"/>
    </sheetView>
  </sheetViews>
  <sheetFormatPr baseColWidth="8" defaultColWidth="8.90625" defaultRowHeight="18.5"/>
  <cols>
    <col width="42.54296875" bestFit="1" customWidth="1" style="60" min="1" max="1"/>
    <col width="4.6328125" customWidth="1" style="60" min="2" max="2"/>
    <col width="18.36328125" customWidth="1" style="66" min="3" max="3"/>
    <col width="41.08984375" bestFit="1" customWidth="1" style="3" min="4" max="4"/>
    <col width="54.453125" bestFit="1" customWidth="1" style="4" min="5" max="5"/>
    <col width="8.81640625" bestFit="1" customWidth="1" style="5" min="6" max="6"/>
    <col width="161.81640625" bestFit="1" customWidth="1" style="6" min="7" max="7"/>
    <col width="90.7265625" bestFit="1" customWidth="1" style="60" min="8" max="8"/>
    <col width="193.54296875" bestFit="1" customWidth="1" style="60" min="9" max="9"/>
    <col width="193.54296875" customWidth="1" min="10" max="10"/>
    <col width="8.90625" customWidth="1" style="60" min="11" max="14"/>
    <col width="8.90625" customWidth="1" style="60" min="15" max="16384"/>
  </cols>
  <sheetData>
    <row r="1" ht="94.5" customHeight="1">
      <c r="A1" s="55" t="inlineStr">
        <is>
          <t>Klaudit AI Audit - Retirement - 2025-10-29 10:39:17</t>
        </is>
      </c>
      <c r="B1" s="46" t="n"/>
      <c r="D1" s="33" t="n"/>
      <c r="E1" s="47" t="n"/>
    </row>
    <row r="2" ht="20.15" customHeight="1">
      <c r="C2" s="66" t="n"/>
      <c r="D2" s="44" t="inlineStr">
        <is>
          <t>KEY</t>
        </is>
      </c>
      <c r="E2" s="7" t="inlineStr">
        <is>
          <t>Not Relevant</t>
        </is>
      </c>
      <c r="F2" s="8" t="inlineStr">
        <is>
          <t>N/A</t>
        </is>
      </c>
      <c r="G2" s="48" t="n"/>
    </row>
    <row r="3" ht="20.15" customHeight="1">
      <c r="D3" s="61" t="n"/>
      <c r="E3" s="9" t="inlineStr">
        <is>
          <t>Non-Existent. Don't do this at all. Extremely Poor</t>
        </is>
      </c>
      <c r="F3" s="10" t="n">
        <v>1</v>
      </c>
      <c r="G3" s="49" t="n"/>
    </row>
    <row r="4" ht="20.15" customHeight="1">
      <c r="D4" s="61" t="n"/>
      <c r="E4" s="9" t="inlineStr">
        <is>
          <t>Poor. Don't do this very well</t>
        </is>
      </c>
      <c r="F4" s="10" t="n">
        <v>2</v>
      </c>
      <c r="G4" s="49" t="n"/>
    </row>
    <row r="5" ht="20.15" customHeight="1">
      <c r="D5" s="61" t="n"/>
      <c r="E5" s="9" t="inlineStr">
        <is>
          <t>OK. Lots of room for improvement</t>
        </is>
      </c>
      <c r="F5" s="10" t="n">
        <v>3</v>
      </c>
      <c r="G5" s="49" t="n"/>
    </row>
    <row r="6" ht="20.15" customHeight="1">
      <c r="D6" s="61" t="n"/>
      <c r="E6" s="9" t="inlineStr">
        <is>
          <t>Good. Some room for improvement</t>
        </is>
      </c>
      <c r="F6" s="10" t="n">
        <v>4</v>
      </c>
      <c r="G6" s="49" t="n"/>
    </row>
    <row r="7" ht="20.15" customHeight="1">
      <c r="D7" s="63" t="n"/>
      <c r="E7" s="9" t="inlineStr">
        <is>
          <t>Excellent. Does this very well</t>
        </is>
      </c>
      <c r="F7" s="10" t="n">
        <v>5</v>
      </c>
      <c r="G7" s="49" t="n"/>
    </row>
    <row r="8" ht="20.15" customHeight="1">
      <c r="D8" s="11" t="n"/>
      <c r="F8" s="12" t="n"/>
      <c r="G8" s="49" t="n"/>
    </row>
    <row r="9" ht="20.15" customHeight="1"/>
    <row r="10" ht="20.15" customHeight="1">
      <c r="D10" s="37" t="inlineStr">
        <is>
          <t>Category</t>
        </is>
      </c>
      <c r="E10" s="37" t="inlineStr">
        <is>
          <t>Item</t>
        </is>
      </c>
      <c r="F10" s="37" t="inlineStr">
        <is>
          <t xml:space="preserve"> Rating</t>
        </is>
      </c>
      <c r="G10" s="50" t="inlineStr">
        <is>
          <t>Details</t>
        </is>
      </c>
      <c r="H10" s="37" t="inlineStr">
        <is>
          <t>Next Steps/Action Items</t>
        </is>
      </c>
      <c r="I10" s="37" t="inlineStr">
        <is>
          <t>Best Practice/Rationale</t>
        </is>
      </c>
      <c r="J10" s="37" t="inlineStr">
        <is>
          <t>AI Guidance (Scoring + Data Use)</t>
        </is>
      </c>
    </row>
    <row r="11" ht="15" customFormat="1" customHeight="1" s="59">
      <c r="B11" s="59" t="n"/>
      <c r="C11" s="62" t="inlineStr">
        <is>
          <t>Brilliant Basics</t>
        </is>
      </c>
      <c r="D11" s="45" t="inlineStr">
        <is>
          <t>Structure</t>
        </is>
      </c>
      <c r="E11" s="13" t="inlineStr">
        <is>
          <t>Overall</t>
        </is>
      </c>
      <c r="F11" s="14">
        <f>IFERROR(AVERAGE(F12:F19)," ")</f>
        <v/>
      </c>
      <c r="G11" s="25" t="n"/>
      <c r="H11" s="15" t="n"/>
      <c r="I11" s="17" t="inlineStr">
        <is>
          <t>Needs individualized definition based on business objective and KPI. Use: Define baseline/target and noise‑aware comparison .</t>
        </is>
      </c>
      <c r="J11" s="56" t="inlineStr">
        <is>
          <t>AI_Guidance for 'Overall':</t>
        </is>
      </c>
    </row>
    <row r="12" ht="15" customHeight="1">
      <c r="C12" s="61" t="n"/>
      <c r="D12" s="61" t="n"/>
      <c r="E12" s="7" t="inlineStr">
        <is>
          <t>Campaigns split by match type?</t>
        </is>
      </c>
      <c r="F12" s="10" t="n"/>
      <c r="G12" s="18" t="n"/>
      <c r="H12" s="18" t="n"/>
      <c r="I12" s="18" t="inlineStr">
        <is>
          <t>Needs individualized definition based on business objective and KPI. Use: Define baseline/target and noise‑aware comparison .</t>
        </is>
      </c>
      <c r="J12" s="57" t="inlineStr">
        <is>
          <t>AI_Guidance for 'Campaigns split by match type?':</t>
        </is>
      </c>
    </row>
    <row r="13" ht="15" customHeight="1">
      <c r="C13" s="61" t="n"/>
      <c r="D13" s="61" t="n"/>
      <c r="E13" s="7" t="inlineStr">
        <is>
          <t>Granular Campaigns?</t>
        </is>
      </c>
      <c r="F13" s="10" t="n"/>
      <c r="G13" s="18" t="n"/>
      <c r="H13" s="9" t="n"/>
      <c r="I13" s="18" t="inlineStr">
        <is>
          <t>Needs individualized definition based on business objective and KPI. Use: Define baseline/target and noise‑aware comparison .</t>
        </is>
      </c>
      <c r="J13" s="57" t="inlineStr">
        <is>
          <t>AI_Guidance for 'Granular Campaigns?':</t>
        </is>
      </c>
    </row>
    <row r="14" ht="15" customHeight="1">
      <c r="C14" s="61" t="n"/>
      <c r="D14" s="61" t="n"/>
      <c r="E14" s="7" t="inlineStr">
        <is>
          <t>Granular Ad Groups ?</t>
        </is>
      </c>
      <c r="F14" s="10" t="n"/>
      <c r="G14" s="18" t="n"/>
      <c r="H14" s="18" t="n"/>
      <c r="I14" s="18" t="inlineStr">
        <is>
          <t>Needs individualized definition based on business objective and KPI. Use: Define baseline/target and noise‑aware comparison .</t>
        </is>
      </c>
      <c r="J14" s="57" t="inlineStr">
        <is>
          <t>AI_Guidance for 'Granular Ad Groups ?':</t>
        </is>
      </c>
    </row>
    <row r="15" ht="18.75" customHeight="1">
      <c r="C15" s="61" t="n"/>
      <c r="D15" s="61" t="n"/>
      <c r="E15" s="7" t="inlineStr">
        <is>
          <t>Account active in all engines - Google</t>
        </is>
      </c>
      <c r="F15" s="10" t="n"/>
      <c r="G15" s="18" t="n"/>
      <c r="H15" s="18" t="n"/>
      <c r="I15" s="18" t="inlineStr">
        <is>
          <t>Needs individualized definition based on business objective and KPI. Use: Define baseline/target and noise‑aware comparison .</t>
        </is>
      </c>
      <c r="J15" s="57" t="inlineStr">
        <is>
          <t>AI_Guidance for 'Account active in all engines - Google':</t>
        </is>
      </c>
    </row>
    <row r="16" ht="18.75" customHeight="1">
      <c r="C16" s="61" t="n"/>
      <c r="D16" s="61" t="n"/>
      <c r="E16" s="7" t="inlineStr">
        <is>
          <t>Account active in all engines - BING</t>
        </is>
      </c>
      <c r="F16" s="10" t="n"/>
      <c r="G16" s="18" t="n"/>
      <c r="H16" s="18" t="n"/>
      <c r="I16" s="18" t="inlineStr">
        <is>
          <t>Needs individualized definition based on business objective and KPI. Use: Define baseline/target and noise‑aware comparison .</t>
        </is>
      </c>
      <c r="J16" s="57" t="inlineStr">
        <is>
          <t>AI_Guidance for 'Account active in all engines - BING':</t>
        </is>
      </c>
    </row>
    <row r="17" ht="18.75" customHeight="1">
      <c r="C17" s="61" t="n"/>
      <c r="D17" s="61" t="n"/>
      <c r="E17" s="7" t="inlineStr">
        <is>
          <t>Account active in all engines - Other</t>
        </is>
      </c>
      <c r="F17" s="10" t="n"/>
      <c r="G17" s="51" t="n"/>
      <c r="H17" s="19" t="n"/>
      <c r="I17" s="18" t="inlineStr">
        <is>
          <t>Needs individualized definition based on business objective and KPI. Use: Define baseline/target and noise‑aware comparison .</t>
        </is>
      </c>
      <c r="J17" s="57" t="inlineStr">
        <is>
          <t>AI_Guidance for 'Account active in all engines - Other':</t>
        </is>
      </c>
    </row>
    <row r="18" ht="18.75" customHeight="1">
      <c r="C18" s="61" t="n"/>
      <c r="D18" s="61" t="n"/>
      <c r="E18" s="7" t="inlineStr">
        <is>
          <t>PMAX within account</t>
        </is>
      </c>
      <c r="F18" s="10" t="n"/>
      <c r="G18" s="51" t="n"/>
      <c r="H18" s="19" t="n"/>
      <c r="I18" s="18" t="inlineStr">
        <is>
          <t>Ensure PMax structure, feed health, and brand control with insights‑driven actions. Use: AG density, Feed error rate, Waste% from irrelevant placements, NC share</t>
        </is>
      </c>
      <c r="J18" s="57" t="inlineStr">
        <is>
          <t>AI_Guidance for 'PMAX within account':</t>
        </is>
      </c>
    </row>
    <row r="19" ht="18.75" customHeight="1">
      <c r="C19" s="63" t="n"/>
      <c r="D19" s="63" t="n"/>
      <c r="E19" s="7" t="inlineStr">
        <is>
          <t>Are naming conventions in place?</t>
        </is>
      </c>
      <c r="F19" s="10" t="n"/>
      <c r="G19" s="18" t="n"/>
      <c r="H19" s="18" t="n"/>
      <c r="I19" s="18" t="inlineStr">
        <is>
          <t>Enforce consistent structure and naming for reliable ops and analysis. Use: Policy compliance rate, parsing success, label coverage</t>
        </is>
      </c>
      <c r="J19" s="57" t="inlineStr">
        <is>
          <t>AI_Guidance for 'Are naming conventions in place?':</t>
        </is>
      </c>
    </row>
    <row r="20" ht="14.5" customFormat="1" customHeight="1" s="59">
      <c r="C20" s="61" t="n"/>
      <c r="D20" s="41" t="inlineStr">
        <is>
          <t>Keywords</t>
        </is>
      </c>
      <c r="E20" s="13" t="inlineStr">
        <is>
          <t>Overall</t>
        </is>
      </c>
      <c r="F20" s="14">
        <f>IFERROR(AVERAGE(F21:F26)," ")</f>
        <v/>
      </c>
      <c r="G20" s="25" t="n"/>
      <c r="H20" s="15" t="n"/>
      <c r="I20" s="17" t="inlineStr">
        <is>
          <t>Needs individualized definition based on business objective and KPI. Use: Define baseline/target and noise‑aware comparison .</t>
        </is>
      </c>
      <c r="J20" s="56" t="inlineStr">
        <is>
          <t>AI_Guidance for 'Overall':</t>
        </is>
      </c>
    </row>
    <row r="21" ht="14.5" customHeight="1">
      <c r="C21" s="61" t="n"/>
      <c r="D21" s="61" t="n"/>
      <c r="E21" s="7" t="inlineStr">
        <is>
          <t>Good Coverage?</t>
        </is>
      </c>
      <c r="F21" s="10" t="n"/>
      <c r="G21" s="18" t="n"/>
      <c r="H21" s="18" t="n"/>
      <c r="I21" s="18" t="inlineStr">
        <is>
          <t>Needs individualized definition based on business objective and KPI. Use: Define baseline/target and noise‑aware comparison .</t>
        </is>
      </c>
      <c r="J21" s="57" t="inlineStr">
        <is>
          <t>AI_Guidance for 'Good Coverage?':</t>
        </is>
      </c>
    </row>
    <row r="22" ht="29" customHeight="1">
      <c r="C22" s="61" t="n"/>
      <c r="D22" s="61" t="n"/>
      <c r="E22" s="7" t="inlineStr">
        <is>
          <t>High Quality Scores?</t>
        </is>
      </c>
      <c r="F22" s="10" t="n"/>
      <c r="G22" s="18" t="n"/>
      <c r="H22" s="18" t="n"/>
      <c r="I22" s="18" t="inlineStr">
        <is>
          <t>Improve QS via expected CTR, ad relevance, and LP experience. Use: QS weighted by impr., drivers decomposition, simulate impact of asset/LP fixes</t>
        </is>
      </c>
      <c r="J22" s="57" t="inlineStr">
        <is>
          <t>AI_Guidance for 'High Quality Scores?':</t>
        </is>
      </c>
    </row>
    <row r="23" ht="14.5" customHeight="1">
      <c r="C23" s="61" t="n"/>
      <c r="D23" s="61" t="n"/>
      <c r="E23" s="7" t="inlineStr">
        <is>
          <t>No Active Ad Group missing Active Keywords</t>
        </is>
      </c>
      <c r="F23" s="10" t="n"/>
      <c r="G23" s="18" t="n"/>
      <c r="H23" s="18" t="n"/>
      <c r="I23" s="18" t="inlineStr">
        <is>
          <t>Needs individualized definition based on business objective and KPI. Use: Define baseline/target and noise‑aware comparison .</t>
        </is>
      </c>
      <c r="J23" s="57" t="inlineStr">
        <is>
          <t>AI_Guidance for 'No Active Ad Group missing Active Keywords':</t>
        </is>
      </c>
    </row>
    <row r="24" ht="14.5" customHeight="1">
      <c r="C24" s="61" t="n"/>
      <c r="D24" s="61" t="n"/>
      <c r="E24" s="7" t="inlineStr">
        <is>
          <t>Any disapprovals</t>
        </is>
      </c>
      <c r="F24" s="10" t="n"/>
      <c r="G24" s="18" t="n"/>
      <c r="H24" s="18" t="n"/>
      <c r="I24" s="18" t="inlineStr">
        <is>
          <t>Needs individualized definition based on business objective and KPI. Use: Define baseline/target and noise‑aware comparison .</t>
        </is>
      </c>
      <c r="J24" s="57" t="inlineStr">
        <is>
          <t>AI_Guidance for 'Any disapprovals':</t>
        </is>
      </c>
    </row>
    <row r="25" ht="14.5" customHeight="1">
      <c r="C25" s="61" t="n"/>
      <c r="D25" s="61" t="n"/>
      <c r="E25" s="7" t="inlineStr">
        <is>
          <t>Broad Match Modified</t>
        </is>
      </c>
      <c r="F25" s="10" t="n"/>
      <c r="G25" s="18" t="n"/>
      <c r="H25" s="18" t="n"/>
      <c r="I25" s="18" t="inlineStr">
        <is>
          <t>Needs individualized definition based on business objective and KPI. Use: Define baseline/target and noise‑aware comparison .</t>
        </is>
      </c>
      <c r="J25" s="57" t="inlineStr">
        <is>
          <t>AI_Guidance for 'Broad Match Modified':</t>
        </is>
      </c>
    </row>
    <row r="26" ht="14.5" customHeight="1">
      <c r="C26" s="61" t="n"/>
      <c r="D26" s="61" t="n"/>
      <c r="E26" s="20" t="inlineStr">
        <is>
          <t>Is there a balance of Match Types?</t>
        </is>
      </c>
      <c r="F26" s="10" t="n"/>
      <c r="G26" s="18" t="n"/>
      <c r="H26" s="18" t="n"/>
      <c r="I26" s="18" t="inlineStr">
        <is>
          <t>Needs individualized definition based on business objective and KPI. Use: Define baseline/target and noise‑aware comparison .</t>
        </is>
      </c>
      <c r="J26" s="57" t="inlineStr">
        <is>
          <t>AI_Guidance for 'Is there a balance of Match Types?':</t>
        </is>
      </c>
    </row>
    <row r="27" ht="14.5" customFormat="1" customHeight="1" s="59">
      <c r="C27" s="61" t="n"/>
      <c r="D27" s="38" t="inlineStr">
        <is>
          <t>Negative Keywords</t>
        </is>
      </c>
      <c r="E27" s="13" t="inlineStr">
        <is>
          <t>Overall</t>
        </is>
      </c>
      <c r="F27" s="14">
        <f>IFERROR(AVERAGE(F28:F29)," ")</f>
        <v/>
      </c>
      <c r="G27" s="25" t="n"/>
      <c r="H27" s="15" t="n"/>
      <c r="I27" s="17" t="inlineStr">
        <is>
          <t>Needs individualized definition based on business objective and KPI. Use: Define baseline/target and noise‑aware comparison .</t>
        </is>
      </c>
      <c r="J27" s="56" t="inlineStr">
        <is>
          <t>AI_Guidance for 'Overall':</t>
        </is>
      </c>
    </row>
    <row r="28" ht="14.5" customFormat="1" customHeight="1" s="59">
      <c r="C28" s="61" t="n"/>
      <c r="D28" s="61" t="n"/>
      <c r="E28" s="7" t="inlineStr">
        <is>
          <t>Are Campaign lists used?</t>
        </is>
      </c>
      <c r="F28" s="10" t="n"/>
      <c r="G28" s="18" t="n"/>
      <c r="H28" s="18" t="n"/>
      <c r="I28" s="18" t="inlineStr">
        <is>
          <t>Needs individualized definition based on business objective and KPI. Use: Define baseline/target and noise‑aware comparison .</t>
        </is>
      </c>
      <c r="J28" s="57" t="inlineStr">
        <is>
          <t>AI_Guidance for 'Are Campaign lists used?':</t>
        </is>
      </c>
    </row>
    <row r="29" ht="14.5" customHeight="1">
      <c r="C29" s="61" t="n"/>
      <c r="D29" s="63" t="n"/>
      <c r="E29" s="7" t="inlineStr">
        <is>
          <t>Cross Category Negatives in place?</t>
        </is>
      </c>
      <c r="F29" s="10" t="n"/>
      <c r="G29" s="18" t="n"/>
      <c r="H29" s="9" t="n"/>
      <c r="I29" s="18" t="inlineStr">
        <is>
          <t>Identify non-converting and low-quality terms, recommend exact/phrase adds and negative expansions. Use: NonConvCost% = Cost/Total, Waste = Cost on terms below min-qual, Opportunity = terms with ROAS&gt;target not in keywords</t>
        </is>
      </c>
      <c r="J29" s="57" t="inlineStr">
        <is>
          <t>AI_Guidance for 'Cross Category Negatives in place?':</t>
        </is>
      </c>
    </row>
    <row r="30" ht="15" customFormat="1" customHeight="1" s="59">
      <c r="C30" s="61" t="n"/>
      <c r="D30" s="38" t="inlineStr">
        <is>
          <t>Ad Copy</t>
        </is>
      </c>
      <c r="E30" s="13" t="inlineStr">
        <is>
          <t>Overall</t>
        </is>
      </c>
      <c r="F30" s="14">
        <f>IFERROR(AVERAGE(F31:F39)," ")</f>
        <v/>
      </c>
      <c r="G30" s="25" t="n"/>
      <c r="H30" s="15" t="n"/>
      <c r="I30" s="17" t="inlineStr">
        <is>
          <t>Needs individualized definition based on business objective and KPI. Use: Define baseline/target and noise‑aware comparison .</t>
        </is>
      </c>
      <c r="J30" s="56" t="inlineStr">
        <is>
          <t>AI_Guidance for 'Overall':</t>
        </is>
      </c>
    </row>
    <row r="31" ht="14.5" customHeight="1">
      <c r="C31" s="61" t="n"/>
      <c r="D31" s="61" t="n"/>
      <c r="E31" s="7" t="inlineStr">
        <is>
          <t>Adapted to ad groups and keywords?</t>
        </is>
      </c>
      <c r="F31" s="10" t="n"/>
      <c r="G31" s="18" t="n"/>
      <c r="H31" s="18" t="n"/>
      <c r="I31" s="18" t="inlineStr">
        <is>
          <t>Needs individualized definition based on business objective and KPI. Use: Define baseline/target and noise‑aware comparison .</t>
        </is>
      </c>
      <c r="J31" s="57" t="inlineStr">
        <is>
          <t>AI_Guidance for 'Adapted to ad groups and keywords?':</t>
        </is>
      </c>
    </row>
    <row r="32" ht="15" customHeight="1">
      <c r="C32" s="61" t="n"/>
      <c r="D32" s="61" t="n"/>
      <c r="E32" s="7" t="inlineStr">
        <is>
          <t>2 RSA. ETA depreciated June 2022</t>
        </is>
      </c>
      <c r="F32" s="10" t="n"/>
      <c r="G32" s="18" t="n"/>
      <c r="H32" s="9" t="n"/>
      <c r="I32" s="18" t="inlineStr">
        <is>
          <t>Audit RSA asset coverage, pinning discipline, and performance labels vs CTR/LQS. Use: Coverage = unique H/D, Pin ratio, CTR Δ vs benchmark, Asset learnings applied?</t>
        </is>
      </c>
      <c r="J32" s="57" t="inlineStr">
        <is>
          <t>AI_Guidance for '2 RSA. ETA depreciated June 2022':</t>
        </is>
      </c>
    </row>
    <row r="33" ht="15" customHeight="1">
      <c r="C33" s="61" t="n"/>
      <c r="D33" s="61" t="n"/>
      <c r="E33" s="7" t="inlineStr">
        <is>
          <t>Continuous Test &amp; Learn?</t>
        </is>
      </c>
      <c r="F33" s="10" t="n"/>
      <c r="G33" s="18" t="n"/>
      <c r="H33" s="18" t="n"/>
      <c r="I33" s="18" t="inlineStr">
        <is>
          <t>Run structured experiments with clear hypotheses and guardrails. Use: Power calc, MDE, sequential testing controls</t>
        </is>
      </c>
      <c r="J33" s="57" t="inlineStr">
        <is>
          <t>AI_Guidance for 'Continuous Test &amp; Learn?':</t>
        </is>
      </c>
    </row>
    <row r="34" ht="15" customHeight="1">
      <c r="C34" s="61" t="n"/>
      <c r="D34" s="61" t="n"/>
      <c r="E34" s="60" t="inlineStr">
        <is>
          <t>Does copy include USPs (Unique selling proposition)?</t>
        </is>
      </c>
      <c r="F34" s="10" t="n"/>
      <c r="G34" s="18" t="n"/>
      <c r="H34" s="18" t="n"/>
      <c r="I34" s="18" t="inlineStr">
        <is>
          <t>Needs individualized definition based on business objective and KPI. Use: Define baseline/target and noise‑aware comparison .</t>
        </is>
      </c>
      <c r="J34" s="57" t="inlineStr">
        <is>
          <t>AI_Guidance for 'Does copy include USPs (Unique selling proposition)?':</t>
        </is>
      </c>
    </row>
    <row r="35" ht="14.5" customHeight="1">
      <c r="C35" s="61" t="n"/>
      <c r="D35" s="61" t="n"/>
      <c r="E35" s="7" t="inlineStr">
        <is>
          <t>Does copy feature prices, promotions and exclusives?</t>
        </is>
      </c>
      <c r="F35" s="10" t="n"/>
      <c r="G35" s="18" t="n"/>
      <c r="H35" s="18" t="n"/>
      <c r="I35" s="18" t="inlineStr">
        <is>
          <t>Needs individualized definition based on business objective and KPI. Use: Define baseline/target and noise‑aware comparison .</t>
        </is>
      </c>
      <c r="J35" s="57" t="inlineStr">
        <is>
          <t>AI_Guidance for 'Does copy feature prices, promotions and exclusives?':</t>
        </is>
      </c>
    </row>
    <row r="36" ht="15" customHeight="1">
      <c r="C36" s="61" t="n"/>
      <c r="D36" s="61" t="n"/>
      <c r="E36" s="7" t="inlineStr">
        <is>
          <t>Does ad copy use CTAs?</t>
        </is>
      </c>
      <c r="F36" s="10" t="n"/>
      <c r="G36" s="18" t="n"/>
      <c r="H36" s="18" t="n"/>
      <c r="I36" s="18" t="inlineStr">
        <is>
          <t>Needs individualized definition based on business objective and KPI. Use: Define baseline/target and noise‑aware comparison .</t>
        </is>
      </c>
      <c r="J36" s="57" t="inlineStr">
        <is>
          <t>AI_Guidance for 'Does ad copy use CTAs?':</t>
        </is>
      </c>
    </row>
    <row r="37" ht="15" customHeight="1">
      <c r="C37" s="61" t="n"/>
      <c r="D37" s="61" t="n"/>
      <c r="E37" s="7" t="inlineStr">
        <is>
          <t>Does ad copy use official or ® or ™?</t>
        </is>
      </c>
      <c r="F37" s="10" t="n"/>
      <c r="G37" s="18" t="n"/>
      <c r="H37" s="18" t="n"/>
      <c r="I37" s="18" t="inlineStr">
        <is>
          <t>Needs individualized definition based on business objective and KPI. Use: Define baseline/target and noise‑aware comparison .</t>
        </is>
      </c>
      <c r="J37" s="57" t="inlineStr">
        <is>
          <t>AI_Guidance for 'Does ad copy use official or ® or ™?':</t>
        </is>
      </c>
    </row>
    <row r="38" ht="18.75" customHeight="1">
      <c r="C38" s="61" t="n"/>
      <c r="D38" s="61" t="n"/>
      <c r="E38" s="7" t="inlineStr">
        <is>
          <t>Does copy use inter-capitalisation?</t>
        </is>
      </c>
      <c r="F38" s="10" t="n"/>
      <c r="G38" s="18" t="n"/>
      <c r="H38" s="18" t="n"/>
      <c r="I38" s="18" t="inlineStr">
        <is>
          <t>Needs individualized definition based on business objective and KPI. Use: Define baseline/target and noise‑aware comparison .</t>
        </is>
      </c>
      <c r="J38" s="57" t="inlineStr">
        <is>
          <t>AI_Guidance for 'Does copy use inter-capitalisation?':</t>
        </is>
      </c>
    </row>
    <row r="39" ht="32.25" customHeight="1">
      <c r="C39" s="61" t="n"/>
      <c r="D39" s="63" t="n"/>
      <c r="E39" s="7" t="inlineStr">
        <is>
          <t>Using all relevant Extensions?</t>
        </is>
      </c>
      <c r="F39" s="10" t="n"/>
      <c r="G39" s="18" t="n"/>
      <c r="H39" s="18" t="n"/>
      <c r="I39" s="18" t="inlineStr">
        <is>
          <t>Check extension coverage, relevance, and performance contribution. Use: Coverage% by campaign, CTR Δ with/without, Assist rate in paths</t>
        </is>
      </c>
      <c r="J39" s="57" t="inlineStr">
        <is>
          <t>AI_Guidance for 'Using all relevant Extensions?':</t>
        </is>
      </c>
    </row>
    <row r="40" ht="14.5" customFormat="1" customHeight="1" s="59">
      <c r="C40" s="61" t="n"/>
      <c r="D40" s="41" t="inlineStr">
        <is>
          <t>Landing Pages</t>
        </is>
      </c>
      <c r="E40" s="13" t="inlineStr">
        <is>
          <t>Overall</t>
        </is>
      </c>
      <c r="F40" s="14">
        <f>IFERROR(AVERAGE(F41:F44)," ")</f>
        <v/>
      </c>
      <c r="G40" s="17" t="n"/>
      <c r="H40" s="15" t="n"/>
      <c r="I40" s="17" t="inlineStr">
        <is>
          <t>Needs individualized definition based on business objective and KPI. Use: Define baseline/target and noise‑aware comparison .</t>
        </is>
      </c>
      <c r="J40" s="56" t="inlineStr">
        <is>
          <t>AI_Guidance for 'Overall':</t>
        </is>
      </c>
    </row>
    <row r="41" ht="14.5" customHeight="1">
      <c r="C41" s="61" t="n"/>
      <c r="D41" s="61" t="n"/>
      <c r="E41" s="7" t="inlineStr">
        <is>
          <t>Adapted to Keywords &amp; Copy?</t>
        </is>
      </c>
      <c r="F41" s="10" t="n"/>
      <c r="G41" s="18" t="n"/>
      <c r="H41" s="18" t="n"/>
      <c r="I41" s="18" t="inlineStr">
        <is>
          <t>Needs individualized definition based on business objective and KPI. Use: Define baseline/target and noise‑aware comparison .</t>
        </is>
      </c>
      <c r="J41" s="57" t="inlineStr">
        <is>
          <t>AI_Guidance for 'Adapted to Keywords &amp; Copy?':</t>
        </is>
      </c>
    </row>
    <row r="42" ht="14.5" customHeight="1">
      <c r="C42" s="61" t="n"/>
      <c r="D42" s="61" t="n"/>
      <c r="E42" s="7" t="inlineStr">
        <is>
          <t>Adapted to Sitelinks?</t>
        </is>
      </c>
      <c r="F42" s="10" t="n"/>
      <c r="H42" s="9" t="n"/>
      <c r="I42" s="18" t="inlineStr">
        <is>
          <t>Check extension coverage, relevance, and performance contribution. Use: Coverage% by campaign, CTR Δ with/without, Assist rate in paths</t>
        </is>
      </c>
      <c r="J42" s="57" t="inlineStr">
        <is>
          <t>AI_Guidance for 'Adapted to Sitelinks?':</t>
        </is>
      </c>
    </row>
    <row r="43" ht="14.5" customHeight="1">
      <c r="C43" s="61" t="n"/>
      <c r="D43" s="61" t="n"/>
      <c r="E43" s="7" t="inlineStr">
        <is>
          <t>URL Checker</t>
        </is>
      </c>
      <c r="F43" s="10" t="n"/>
      <c r="G43" s="18" t="n"/>
      <c r="H43" s="9" t="n"/>
      <c r="I43" s="18" t="inlineStr">
        <is>
          <t>Needs individualized definition based on business objective and KPI. Use: Define baseline/target and noise‑aware comparison .</t>
        </is>
      </c>
      <c r="J43" s="57" t="inlineStr">
        <is>
          <t>AI_Guidance for 'URL Checker':</t>
        </is>
      </c>
    </row>
    <row r="44" ht="14.5" customHeight="1">
      <c r="C44" s="61" t="n"/>
      <c r="D44" s="61" t="n"/>
      <c r="E44" s="7" t="inlineStr">
        <is>
          <t>Continuous Test &amp; Learn?</t>
        </is>
      </c>
      <c r="F44" s="10" t="n"/>
      <c r="G44" s="18" t="n"/>
      <c r="H44" s="18" t="n"/>
      <c r="I44" s="18" t="inlineStr">
        <is>
          <t>Run structured experiments with clear hypotheses and guardrails. Use: Power calc, MDE, sequential testing controls</t>
        </is>
      </c>
      <c r="J44" s="57" t="inlineStr">
        <is>
          <t>AI_Guidance for 'Continuous Test &amp; Learn?':</t>
        </is>
      </c>
    </row>
    <row r="45" ht="14.5" customFormat="1" customHeight="1" s="59">
      <c r="C45" s="61" t="n"/>
      <c r="D45" s="41" t="inlineStr">
        <is>
          <t>Bids</t>
        </is>
      </c>
      <c r="E45" s="13" t="inlineStr">
        <is>
          <t>Overall</t>
        </is>
      </c>
      <c r="F45" s="14">
        <f>IFERROR(AVERAGE(F46:F50)," ")</f>
        <v/>
      </c>
      <c r="G45" s="25" t="n"/>
      <c r="H45" s="15" t="n"/>
      <c r="I45" s="17" t="inlineStr">
        <is>
          <t>Needs individualized definition based on business objective and KPI. Use: Define baseline/target and noise‑aware comparison .</t>
        </is>
      </c>
      <c r="J45" s="56" t="inlineStr">
        <is>
          <t>AI_Guidance for 'Overall':</t>
        </is>
      </c>
    </row>
    <row r="46" ht="14.5" customHeight="1">
      <c r="C46" s="61" t="n"/>
      <c r="D46" s="61" t="n"/>
      <c r="E46" s="7" t="inlineStr">
        <is>
          <t>Smart Bidding set up?</t>
        </is>
      </c>
      <c r="F46" s="10" t="n"/>
      <c r="G46" s="18" t="n"/>
      <c r="H46" s="18" t="n"/>
      <c r="I46" s="18" t="inlineStr">
        <is>
          <t>Match bidding strategy to objective and volume with guardrails. Use: Sufficiency: ≥30 conv/30d or ≥50 value events , Reset frequency, CPL/ROAS vs target</t>
        </is>
      </c>
      <c r="J46" s="57" t="inlineStr">
        <is>
          <t>AI_Guidance for 'Smart Bidding set up?':</t>
        </is>
      </c>
    </row>
    <row r="47" ht="14.5" customHeight="1">
      <c r="C47" s="61" t="n"/>
      <c r="D47" s="61" t="n"/>
      <c r="E47" s="7" t="inlineStr">
        <is>
          <t>Any areas of Opp for IS, ROAS, CPA?</t>
        </is>
      </c>
      <c r="F47" s="10" t="n"/>
      <c r="G47" s="18" t="n"/>
      <c r="H47" s="18" t="n"/>
      <c r="I47" s="18" t="inlineStr">
        <is>
          <t>Needs individualized definition based on business objective and KPI. Use: Define baseline/target and noise‑aware comparison .</t>
        </is>
      </c>
      <c r="J47" s="57" t="inlineStr">
        <is>
          <t>AI_Guidance for 'Any areas of Opp for IS, ROAS, CPA?':</t>
        </is>
      </c>
    </row>
    <row r="48" ht="14.5" customHeight="1">
      <c r="C48" s="61" t="n"/>
      <c r="D48" s="61" t="n"/>
      <c r="E48" s="7" t="inlineStr">
        <is>
          <t>DDA activated</t>
        </is>
      </c>
      <c r="F48" s="10" t="n"/>
      <c r="G48" s="18" t="n"/>
      <c r="H48" s="18" t="n"/>
      <c r="I48" s="18" t="inlineStr">
        <is>
          <t>Needs individualized definition based on business objective and KPI. Use: Define baseline/target and noise‑aware comparison .</t>
        </is>
      </c>
      <c r="J48" s="57" t="inlineStr">
        <is>
          <t>AI_Guidance for 'DDA activated':</t>
        </is>
      </c>
    </row>
    <row r="49" ht="14.5" customHeight="1">
      <c r="C49" s="61" t="n"/>
      <c r="D49" s="61" t="n"/>
      <c r="E49" s="7" t="inlineStr">
        <is>
          <t>If on Manual bidding, set at enhanced CPC</t>
        </is>
      </c>
      <c r="F49" s="10" t="n"/>
      <c r="G49" s="18" t="n"/>
      <c r="H49" s="18" t="n"/>
      <c r="I49" s="18" t="inlineStr">
        <is>
          <t>Match bidding strategy to objective and volume with guardrails. Use: Sufficiency: ≥30 conv/30d or ≥50 value events , Reset frequency, CPL/ROAS vs target</t>
        </is>
      </c>
      <c r="J49" s="57" t="inlineStr">
        <is>
          <t>AI_Guidance for 'If on Manual bidding, set at enhanced CPC':</t>
        </is>
      </c>
    </row>
    <row r="50" ht="14.5" customHeight="1">
      <c r="C50" s="61" t="n"/>
      <c r="D50" s="61" t="n"/>
      <c r="E50" s="7" t="inlineStr">
        <is>
          <t>Not losing too much impression Share to rank?</t>
        </is>
      </c>
      <c r="F50" s="10" t="n"/>
      <c r="G50" s="18" t="n"/>
      <c r="H50" s="18" t="n"/>
      <c r="I50" s="18" t="inlineStr">
        <is>
          <t>Use auction insights to size competitor pressure and recapture share efficiently. Use: Pressure index, $ to reclaim 1pp IS, ROI of rank vs budget fixes</t>
        </is>
      </c>
      <c r="J50" s="57" t="inlineStr">
        <is>
          <t>AI_Guidance for 'Not losing too much impression Share to rank?':</t>
        </is>
      </c>
    </row>
    <row r="51" ht="14.5" customFormat="1" customHeight="1" s="59">
      <c r="C51" s="61" t="n"/>
      <c r="D51" s="41" t="inlineStr">
        <is>
          <t>Budgets</t>
        </is>
      </c>
      <c r="E51" s="13" t="inlineStr">
        <is>
          <t>Overall</t>
        </is>
      </c>
      <c r="F51" s="14">
        <f>IFERROR(AVERAGE(F52:F54)," ")</f>
        <v/>
      </c>
      <c r="G51" s="52" t="n"/>
      <c r="H51" s="15" t="n"/>
      <c r="I51" s="21" t="inlineStr">
        <is>
          <t>Needs individualized definition based on business objective and KPI. Use: Define baseline/target and noise‑aware comparison .</t>
        </is>
      </c>
      <c r="J51" s="58" t="inlineStr">
        <is>
          <t>AI_Guidance for 'Overall':</t>
        </is>
      </c>
    </row>
    <row r="52" ht="43.5" customHeight="1">
      <c r="C52" s="61" t="n"/>
      <c r="D52" s="61" t="n"/>
      <c r="E52" s="7" t="inlineStr">
        <is>
          <t>Not losing impression Share to budget?</t>
        </is>
      </c>
      <c r="F52" s="10" t="n"/>
      <c r="G52" s="18" t="n"/>
      <c r="H52" s="18" t="n"/>
      <c r="I52" s="18" t="inlineStr">
        <is>
          <t>Compare actual vs planned spend and recover variances with documented actions. Use: Pacing% = Actual/Plan, Variance% = /Plan, Impact = Variance% × Conv-Elasticity</t>
        </is>
      </c>
      <c r="J52" s="57" t="inlineStr">
        <is>
          <t>AI_Guidance for 'Not losing impression Share to budget?':</t>
        </is>
      </c>
    </row>
    <row r="53" ht="29" customHeight="1">
      <c r="C53" s="61" t="n"/>
      <c r="D53" s="61" t="n"/>
      <c r="E53" s="7" t="inlineStr">
        <is>
          <t>Budget Allocation based on priority terms?</t>
        </is>
      </c>
      <c r="F53" s="10" t="n"/>
      <c r="G53" s="18" t="n"/>
      <c r="H53" s="18" t="n"/>
      <c r="I53" s="18" t="inlineStr">
        <is>
          <t>Compare actual vs planned spend and recover variances with documented actions. Use: Pacing% = Actual/Plan, Variance% = /Plan, Impact = Variance% × Conv-Elasticity</t>
        </is>
      </c>
      <c r="J53" s="57" t="inlineStr">
        <is>
          <t>AI_Guidance for 'Budget Allocation based on priority terms?':</t>
        </is>
      </c>
    </row>
    <row r="54" ht="14.5" customHeight="1">
      <c r="C54" s="61" t="n"/>
      <c r="D54" s="61" t="n"/>
      <c r="E54" s="7" t="inlineStr">
        <is>
          <t>Are Shared campaign budgets used?</t>
        </is>
      </c>
      <c r="F54" s="10" t="n"/>
      <c r="G54" s="53" t="n"/>
      <c r="H54" s="18" t="n"/>
      <c r="I54" s="18" t="inlineStr">
        <is>
          <t>Needs individualized definition based on business objective and KPI. Use: Define baseline/target and noise‑aware comparison .</t>
        </is>
      </c>
      <c r="J54" s="57" t="inlineStr">
        <is>
          <t>AI_Guidance for 'Are Shared campaign budgets used?':</t>
        </is>
      </c>
    </row>
    <row r="55" ht="14.5" customFormat="1" customHeight="1" s="59">
      <c r="C55" s="63" t="n"/>
      <c r="D55" s="41" t="inlineStr">
        <is>
          <t>Settings</t>
        </is>
      </c>
      <c r="E55" s="13" t="inlineStr">
        <is>
          <t>Overall</t>
        </is>
      </c>
      <c r="F55" s="14">
        <f>IFERROR(AVERAGE(F56:F58)," ")</f>
        <v/>
      </c>
      <c r="G55" s="25" t="n"/>
      <c r="H55" s="15" t="n"/>
      <c r="I55" s="17" t="inlineStr">
        <is>
          <t>Needs individualized definition based on business objective and KPI. Use: Define baseline/target and noise‑aware comparison .</t>
        </is>
      </c>
      <c r="J55" s="56" t="inlineStr">
        <is>
          <t>AI_Guidance for 'Overall':</t>
        </is>
      </c>
    </row>
    <row r="56" ht="14.5" customHeight="1">
      <c r="C56" s="61" t="n"/>
      <c r="D56" s="61" t="n"/>
      <c r="E56" s="7" t="inlineStr">
        <is>
          <t>Targeting Search &amp; Search Partners?</t>
        </is>
      </c>
      <c r="F56" s="10" t="n"/>
      <c r="G56" s="18" t="n"/>
      <c r="H56" s="18" t="n"/>
      <c r="I56" s="18" t="inlineStr">
        <is>
          <t>Apply brand‑safety exclusions and manage partner/placement quality. Use: Block‑rate vs waste%, partner ROI vs Search core</t>
        </is>
      </c>
      <c r="J56" s="57" t="inlineStr">
        <is>
          <t>AI_Guidance for 'Targeting Search &amp; Search Partners?':</t>
        </is>
      </c>
    </row>
    <row r="57" ht="14.5" customHeight="1">
      <c r="C57" s="61" t="n"/>
      <c r="D57" s="61" t="n"/>
      <c r="E57" s="7" t="inlineStr">
        <is>
          <t>Ad Rotation - Set to Optimize</t>
        </is>
      </c>
      <c r="F57" s="10" t="n"/>
      <c r="G57" s="18" t="n"/>
      <c r="H57" s="18" t="n"/>
      <c r="I57" s="18" t="inlineStr">
        <is>
          <t>Needs individualized definition based on business objective and KPI. Use: Define baseline/target and noise‑aware comparison .</t>
        </is>
      </c>
      <c r="J57" s="57" t="inlineStr">
        <is>
          <t>AI_Guidance for 'Ad Rotation - Set to Optimize':</t>
        </is>
      </c>
    </row>
    <row r="58" ht="14.5" customHeight="1">
      <c r="C58" s="63" t="n"/>
      <c r="D58" s="61" t="n"/>
      <c r="E58" s="7" t="inlineStr">
        <is>
          <t>Correct Location &amp; Language Targeting?</t>
        </is>
      </c>
      <c r="F58" s="10" t="n"/>
      <c r="G58" s="18" t="n"/>
      <c r="H58" s="18" t="n"/>
      <c r="I58" s="22" t="inlineStr">
        <is>
          <t>Apply stable, materially positive bid adjustments by segment. Use: Significance tests, elasticity by segment, overlap effects</t>
        </is>
      </c>
      <c r="J58" s="22" t="inlineStr">
        <is>
          <t>AI_Guidance for 'Correct Location &amp; Language Targeting?':</t>
        </is>
      </c>
    </row>
    <row r="59" ht="14.5" customFormat="1" customHeight="1" s="59">
      <c r="B59" s="59" t="n"/>
      <c r="C59" s="65" t="inlineStr">
        <is>
          <t>Audience Targeting &amp; Personalisation</t>
        </is>
      </c>
      <c r="D59" s="41" t="inlineStr">
        <is>
          <t>Location</t>
        </is>
      </c>
      <c r="E59" s="13" t="inlineStr">
        <is>
          <t>Overall</t>
        </is>
      </c>
      <c r="F59" s="14">
        <f>IFERROR(AVERAGE(F60:F66)," ")</f>
        <v/>
      </c>
      <c r="G59" s="25" t="n"/>
      <c r="H59" s="15" t="n"/>
      <c r="I59" s="17" t="inlineStr">
        <is>
          <t>Needs individualized definition based on business objective and KPI. Use: Define baseline/target and noise‑aware comparison .</t>
        </is>
      </c>
      <c r="J59" s="56" t="inlineStr">
        <is>
          <t>AI_Guidance for 'Overall':</t>
        </is>
      </c>
    </row>
    <row r="60" ht="29" customFormat="1" customHeight="1" s="59">
      <c r="C60" s="61" t="n"/>
      <c r="D60" s="61" t="n"/>
      <c r="E60" s="23" t="inlineStr">
        <is>
          <t>Learn: Are locations added to location targeting? Has analysis been completed into performance by location?</t>
        </is>
      </c>
      <c r="F60" s="10" t="n"/>
      <c r="G60" s="24" t="n"/>
      <c r="H60" s="9" t="n"/>
      <c r="I60" s="18" t="inlineStr">
        <is>
          <t>Apply stable, materially positive bid adjustments by segment. Use: Significance tests, elasticity by segment, overlap effects</t>
        </is>
      </c>
      <c r="J60" s="57" t="inlineStr">
        <is>
          <t>AI_Guidance for 'Learn: Are locations added to location targeting? Has analysis been completed into performance by location?':</t>
        </is>
      </c>
    </row>
    <row r="61" ht="14.5" customHeight="1">
      <c r="C61" s="61" t="n"/>
      <c r="D61" s="61" t="n"/>
      <c r="E61" s="7" t="inlineStr">
        <is>
          <t>Adjusted bids?</t>
        </is>
      </c>
      <c r="F61" s="10" t="n"/>
      <c r="G61" s="24" t="n"/>
      <c r="H61" s="18" t="n"/>
      <c r="I61" s="18" t="inlineStr">
        <is>
          <t>Needs individualized definition based on business objective and KPI. Use: Define baseline/target and noise‑aware comparison .</t>
        </is>
      </c>
      <c r="J61" s="57" t="inlineStr">
        <is>
          <t>AI_Guidance for 'Adjusted bids?':</t>
        </is>
      </c>
    </row>
    <row r="62" ht="14.5" customHeight="1">
      <c r="C62" s="61" t="n"/>
      <c r="D62" s="61" t="n"/>
      <c r="E62" s="7" t="inlineStr">
        <is>
          <t>Target: Are there separate campaigns for specific locations?</t>
        </is>
      </c>
      <c r="F62" s="10" t="n"/>
      <c r="G62" s="18" t="n"/>
      <c r="H62" s="18" t="n"/>
      <c r="I62" s="18" t="inlineStr">
        <is>
          <t>Needs individualized definition based on business objective and KPI. Use: Define baseline/target and noise‑aware comparison .</t>
        </is>
      </c>
      <c r="J62" s="57" t="inlineStr">
        <is>
          <t>AI_Guidance for 'Target: Are there separate campaigns for specific locations?':</t>
        </is>
      </c>
    </row>
    <row r="63" ht="14.5" customHeight="1">
      <c r="C63" s="61" t="n"/>
      <c r="D63" s="61" t="n"/>
      <c r="E63" s="7" t="inlineStr">
        <is>
          <t>Target: Automated localised strategy?</t>
        </is>
      </c>
      <c r="F63" s="10" t="n"/>
      <c r="G63" s="18" t="n"/>
      <c r="H63" s="18" t="n"/>
      <c r="I63" s="18" t="inlineStr">
        <is>
          <t>Needs individualized definition based on business objective and KPI. Use: Define baseline/target and noise‑aware comparison .</t>
        </is>
      </c>
      <c r="J63" s="57" t="inlineStr">
        <is>
          <t>AI_Guidance for 'Target: Automated localised strategy?':</t>
        </is>
      </c>
    </row>
    <row r="64" ht="14.5" customHeight="1">
      <c r="C64" s="61" t="n"/>
      <c r="D64" s="61" t="n"/>
      <c r="E64" s="7" t="inlineStr">
        <is>
          <t>Personalise: Localised ad copy?</t>
        </is>
      </c>
      <c r="F64" s="10" t="n"/>
      <c r="G64" s="18" t="n"/>
      <c r="H64" s="18" t="n"/>
      <c r="I64" s="18" t="inlineStr">
        <is>
          <t>Needs individualized definition based on business objective and KPI. Use: Define baseline/target and noise‑aware comparison .</t>
        </is>
      </c>
      <c r="J64" s="57" t="inlineStr">
        <is>
          <t>AI_Guidance for 'Personalise: Localised ad copy?':</t>
        </is>
      </c>
    </row>
    <row r="65" ht="14.5" customHeight="1">
      <c r="C65" s="61" t="n"/>
      <c r="D65" s="61" t="n"/>
      <c r="E65" s="7" t="inlineStr">
        <is>
          <t>Personalise: Localised extensions?</t>
        </is>
      </c>
      <c r="F65" s="10" t="n"/>
      <c r="G65" s="18" t="n"/>
      <c r="H65" s="18" t="n"/>
      <c r="I65" s="18" t="inlineStr">
        <is>
          <t>Check extension coverage, relevance, and performance contribution. Use: Coverage% by campaign, CTR Δ with/without, Assist rate in paths</t>
        </is>
      </c>
      <c r="J65" s="57" t="inlineStr">
        <is>
          <t>AI_Guidance for 'Personalise: Localised extensions?':</t>
        </is>
      </c>
    </row>
    <row r="66" ht="14.5" customHeight="1">
      <c r="C66" s="61" t="n"/>
      <c r="D66" s="61" t="n"/>
      <c r="E66" s="7" t="inlineStr">
        <is>
          <t>Personalise: Localised landing pages?</t>
        </is>
      </c>
      <c r="F66" s="10" t="n"/>
      <c r="G66" s="18" t="n"/>
      <c r="H66" s="18" t="n"/>
      <c r="I66" s="18" t="inlineStr">
        <is>
          <t>Align LP speed and content to intent, remove conversion friction. Use: Semantic match score , CWV vs benchmarks, Drop‑off analysis</t>
        </is>
      </c>
      <c r="J66" s="57" t="inlineStr">
        <is>
          <t>AI_Guidance for 'Personalise: Localised landing pages?':</t>
        </is>
      </c>
    </row>
    <row r="67" ht="14.5" customFormat="1" customHeight="1" s="59">
      <c r="C67" s="61" t="n"/>
      <c r="D67" s="41" t="inlineStr">
        <is>
          <t>Time of Day</t>
        </is>
      </c>
      <c r="E67" s="13" t="inlineStr">
        <is>
          <t>Overall</t>
        </is>
      </c>
      <c r="F67" s="14">
        <f>IFERROR(AVERAGE(F68:F70)," ")</f>
        <v/>
      </c>
      <c r="G67" s="25" t="n"/>
      <c r="H67" s="15" t="n"/>
      <c r="I67" s="17" t="inlineStr">
        <is>
          <t>Needs individualized definition based on business objective and KPI. Use: Define baseline/target and noise‑aware comparison .</t>
        </is>
      </c>
      <c r="J67" s="56" t="inlineStr">
        <is>
          <t>AI_Guidance for 'Overall':</t>
        </is>
      </c>
    </row>
    <row r="68" ht="14.5" customHeight="1">
      <c r="C68" s="61" t="n"/>
      <c r="D68" s="61" t="n"/>
      <c r="E68" s="7" t="inlineStr">
        <is>
          <t>Adjusted bids?</t>
        </is>
      </c>
      <c r="F68" s="10" t="n"/>
      <c r="G68" s="18" t="n"/>
      <c r="H68" s="18" t="n"/>
      <c r="I68" s="18" t="inlineStr">
        <is>
          <t>Needs individualized definition based on business objective and KPI. Use: Define baseline/target and noise‑aware comparison .</t>
        </is>
      </c>
      <c r="J68" s="57" t="inlineStr">
        <is>
          <t>AI_Guidance for 'Adjusted bids?':</t>
        </is>
      </c>
    </row>
    <row r="69" ht="14.5" customHeight="1">
      <c r="C69" s="61" t="n"/>
      <c r="D69" s="61" t="n"/>
      <c r="E69" s="7" t="inlineStr">
        <is>
          <t>Target: Are there separate campaigns with ad scheduling?</t>
        </is>
      </c>
      <c r="F69" s="10" t="n"/>
      <c r="G69" s="18" t="n"/>
      <c r="H69" s="18" t="n"/>
      <c r="I69" s="18" t="inlineStr">
        <is>
          <t>Needs individualized definition based on business objective and KPI. Use: Define baseline/target and noise‑aware comparison .</t>
        </is>
      </c>
      <c r="J69" s="57" t="inlineStr">
        <is>
          <t>AI_Guidance for 'Target: Are there separate campaigns with ad scheduling?':</t>
        </is>
      </c>
    </row>
    <row r="70" ht="14.5" customHeight="1">
      <c r="C70" s="61" t="n"/>
      <c r="D70" s="61" t="n"/>
      <c r="E70" s="7" t="inlineStr">
        <is>
          <t>Target: Automated day-parting strategy?</t>
        </is>
      </c>
      <c r="F70" s="10" t="n"/>
      <c r="G70" s="18" t="n"/>
      <c r="H70" s="18" t="n"/>
      <c r="I70" s="18" t="inlineStr">
        <is>
          <t>Needs individualized definition based on business objective and KPI. Use: Define baseline/target and noise‑aware comparison .</t>
        </is>
      </c>
      <c r="J70" s="57" t="inlineStr">
        <is>
          <t>AI_Guidance for 'Target: Automated day-parting strategy?':</t>
        </is>
      </c>
    </row>
    <row r="71" ht="14.5" customFormat="1" customHeight="1" s="59">
      <c r="C71" s="61" t="n"/>
      <c r="D71" s="41" t="inlineStr">
        <is>
          <t>Audience Segments</t>
        </is>
      </c>
      <c r="E71" s="13" t="inlineStr">
        <is>
          <t>Overall</t>
        </is>
      </c>
      <c r="F71" s="14">
        <f>IFERROR(AVERAGE(F72:F76)," ")</f>
        <v/>
      </c>
      <c r="G71" s="25" t="n"/>
      <c r="H71" s="15" t="n"/>
      <c r="I71" s="17" t="inlineStr">
        <is>
          <t>Needs individualized definition based on business objective and KPI. Use: Define baseline/target and noise‑aware comparison .</t>
        </is>
      </c>
      <c r="J71" s="56" t="inlineStr">
        <is>
          <t>AI_Guidance for 'Overall':</t>
        </is>
      </c>
    </row>
    <row r="72" ht="14.5" customFormat="1" customHeight="1" s="59">
      <c r="C72" s="61" t="n"/>
      <c r="D72" s="61" t="n"/>
      <c r="E72" s="23" t="inlineStr">
        <is>
          <t>Learn: Set up RLSA tags?</t>
        </is>
      </c>
      <c r="F72" s="10" t="n"/>
      <c r="G72" s="18" t="n"/>
      <c r="H72" s="18" t="n"/>
      <c r="I72" s="18" t="inlineStr">
        <is>
          <t>Activate high‑intent audiences and suppress low‑value ones. Use: Inclusion/exclusion matrix, saturation analysis, incremental lift</t>
        </is>
      </c>
      <c r="J72" s="57" t="inlineStr">
        <is>
          <t>AI_Guidance for 'Learn: Set up RLSA tags?':</t>
        </is>
      </c>
    </row>
    <row r="73" ht="14.5" customHeight="1">
      <c r="C73" s="61" t="n"/>
      <c r="D73" s="61" t="n"/>
      <c r="E73" s="7" t="inlineStr">
        <is>
          <t>Learn: Created lists through Google, Analytics, bid tech or DMP?</t>
        </is>
      </c>
      <c r="F73" s="10" t="n"/>
      <c r="G73" s="18" t="n"/>
      <c r="H73" s="18" t="n"/>
      <c r="I73" s="18" t="inlineStr">
        <is>
          <t>Match bidding strategy to objective and volume with guardrails. Use: Sufficiency: ≥30 conv/30d or ≥50 value events , Reset frequency, CPL/ROAS vs target</t>
        </is>
      </c>
      <c r="J73" s="57" t="inlineStr">
        <is>
          <t>AI_Guidance for 'Learn: Created lists through Google, Analytics, bid tech or DMP?':</t>
        </is>
      </c>
    </row>
    <row r="74" ht="14.5" customHeight="1">
      <c r="C74" s="61" t="n"/>
      <c r="D74" s="61" t="n"/>
      <c r="E74" s="7" t="inlineStr">
        <is>
          <t>Learn: Applied lists?</t>
        </is>
      </c>
      <c r="F74" s="10" t="n"/>
      <c r="G74" s="18" t="n"/>
      <c r="H74" s="18" t="n"/>
      <c r="I74" s="18" t="inlineStr">
        <is>
          <t>Needs individualized definition based on business objective and KPI. Use: Define baseline/target and noise‑aware comparison .</t>
        </is>
      </c>
      <c r="J74" s="57" t="inlineStr">
        <is>
          <t>AI_Guidance for 'Learn: Applied lists?':</t>
        </is>
      </c>
    </row>
    <row r="75" ht="14.5" customHeight="1">
      <c r="C75" s="61" t="n"/>
      <c r="D75" s="61" t="n"/>
      <c r="E75" s="7" t="inlineStr">
        <is>
          <t>Adjusted bids?</t>
        </is>
      </c>
      <c r="F75" s="10" t="n"/>
      <c r="G75" s="18" t="n"/>
      <c r="H75" s="18" t="n"/>
      <c r="I75" s="18" t="inlineStr">
        <is>
          <t>Needs individualized definition based on business objective and KPI. Use: Define baseline/target and noise‑aware comparison .</t>
        </is>
      </c>
      <c r="J75" s="57" t="inlineStr">
        <is>
          <t>AI_Guidance for 'Adjusted bids?':</t>
        </is>
      </c>
    </row>
    <row r="76" ht="14.5" customHeight="1">
      <c r="C76" s="61" t="n"/>
      <c r="D76" s="61" t="n"/>
      <c r="E76" s="7" t="inlineStr">
        <is>
          <t>Target: Separate campaigns for specific segments?</t>
        </is>
      </c>
      <c r="F76" s="10" t="n"/>
      <c r="G76" s="18" t="n"/>
      <c r="H76" s="18" t="n"/>
      <c r="I76" s="18" t="inlineStr">
        <is>
          <t>Needs individualized definition based on business objective and KPI. Use: Define baseline/target and noise‑aware comparison .</t>
        </is>
      </c>
      <c r="J76" s="57" t="inlineStr">
        <is>
          <t>AI_Guidance for 'Target: Separate campaigns for specific segments?':</t>
        </is>
      </c>
    </row>
    <row r="77" ht="15" customFormat="1" customHeight="1" s="59">
      <c r="B77" s="59" t="n"/>
      <c r="C77" s="64" t="inlineStr">
        <is>
          <t>Technology &amp; Data Integration</t>
        </is>
      </c>
      <c r="D77" s="42" t="inlineStr">
        <is>
          <t>Data Collection</t>
        </is>
      </c>
      <c r="E77" s="13" t="inlineStr">
        <is>
          <t>Overall</t>
        </is>
      </c>
      <c r="F77" s="14">
        <f>IFERROR(AVERAGE(F78:F82)," ")</f>
        <v/>
      </c>
      <c r="G77" s="25" t="n"/>
      <c r="H77" s="15" t="n"/>
      <c r="I77" s="25" t="inlineStr">
        <is>
          <t>Needs individualized definition based on business objective and KPI. Use: Define baseline/target and noise‑aware comparison .</t>
        </is>
      </c>
      <c r="J77" s="25" t="inlineStr">
        <is>
          <t>AI_Guidance for 'Overall':</t>
        </is>
      </c>
    </row>
    <row r="78" ht="14.5" customHeight="1">
      <c r="C78" s="61" t="n"/>
      <c r="D78" s="61" t="n"/>
      <c r="E78" s="7" t="inlineStr">
        <is>
          <t>Using an ad server?</t>
        </is>
      </c>
      <c r="F78" s="10" t="n"/>
      <c r="G78" s="18" t="n"/>
      <c r="H78" s="9" t="n"/>
      <c r="I78" s="18" t="inlineStr">
        <is>
          <t>Needs individualized definition based on business objective and KPI. Use: Define baseline/target and noise‑aware comparison .</t>
        </is>
      </c>
      <c r="J78" s="57" t="inlineStr">
        <is>
          <t>AI_Guidance for 'Using an ad server?':</t>
        </is>
      </c>
    </row>
    <row r="79" ht="14.5" customHeight="1">
      <c r="C79" s="61" t="n"/>
      <c r="D79" s="61" t="n"/>
      <c r="E79" s="7" t="inlineStr">
        <is>
          <t>Capturing extended data?</t>
        </is>
      </c>
      <c r="F79" s="10" t="n"/>
      <c r="G79" s="18" t="n"/>
      <c r="H79" s="18" t="n"/>
      <c r="I79" s="18" t="inlineStr">
        <is>
          <t>Needs individualized definition based on business objective and KPI. Use: Define baseline/target and noise‑aware comparison .</t>
        </is>
      </c>
      <c r="J79" s="57" t="inlineStr">
        <is>
          <t>AI_Guidance for 'Capturing extended data?':</t>
        </is>
      </c>
    </row>
    <row r="80" ht="33.75" customHeight="1">
      <c r="C80" s="61" t="n"/>
      <c r="D80" s="61" t="n"/>
      <c r="E80" s="23" t="inlineStr">
        <is>
          <t>Using Analytics software which is set up correctly &amp; linked to AdWords?</t>
        </is>
      </c>
      <c r="F80" s="10" t="n"/>
      <c r="G80" s="18" t="n"/>
      <c r="H80" s="9" t="n"/>
      <c r="I80" s="18" t="inlineStr">
        <is>
          <t>Needs individualized definition based on business objective and KPI. Use: Define baseline/target and noise‑aware comparison .</t>
        </is>
      </c>
      <c r="J80" s="57" t="inlineStr">
        <is>
          <t>AI_Guidance for 'Using Analytics software which is set up correctly &amp; linked to AdWords?':</t>
        </is>
      </c>
    </row>
    <row r="81" ht="29" customHeight="1">
      <c r="C81" s="61" t="n"/>
      <c r="D81" s="61" t="n"/>
      <c r="E81" s="7" t="inlineStr">
        <is>
          <t>Using Conversion Tracking?</t>
        </is>
      </c>
      <c r="F81" s="10" t="n"/>
      <c r="G81" s="18" t="n"/>
      <c r="H81" s="9" t="n"/>
      <c r="I81" s="18" t="inlineStr">
        <is>
          <t>Maintain clean, deduped conversion tracking with value integrity across GA4/Kochava/SA360. Use: Duplicate rate, conversion lag, value coverage vs finance</t>
        </is>
      </c>
      <c r="J81" s="57" t="inlineStr">
        <is>
          <t>AI_Guidance for 'Using Conversion Tracking?':</t>
        </is>
      </c>
    </row>
    <row r="82" ht="14.5" customHeight="1">
      <c r="C82" s="63" t="n"/>
      <c r="D82" s="61" t="n"/>
      <c r="E82" s="7" t="inlineStr">
        <is>
          <t>Using Tag Management Solution?</t>
        </is>
      </c>
      <c r="F82" s="10" t="n"/>
      <c r="G82" s="18" t="n"/>
      <c r="H82" s="9" t="n"/>
      <c r="I82" s="18" t="inlineStr">
        <is>
          <t>Maintain clean, deduped conversion tracking with value integrity across GA4/Kochava/SA360. Use: Duplicate rate, conversion lag, value coverage vs finance</t>
        </is>
      </c>
      <c r="J82" s="57" t="inlineStr">
        <is>
          <t>AI_Guidance for 'Using Tag Management Solution?':</t>
        </is>
      </c>
    </row>
    <row r="83" ht="15" customHeight="1">
      <c r="C83" s="61" t="n"/>
      <c r="D83" s="43" t="inlineStr">
        <is>
          <t>Data Integration</t>
        </is>
      </c>
      <c r="E83" s="13" t="inlineStr">
        <is>
          <t>Overall</t>
        </is>
      </c>
      <c r="F83" s="14">
        <f>IFERROR(AVERAGE(F84:F88)," ")</f>
        <v/>
      </c>
      <c r="G83" s="25" t="n"/>
      <c r="H83" s="15" t="n"/>
      <c r="I83" s="25" t="inlineStr">
        <is>
          <t>Needs individualized definition based on business objective and KPI. Use: Define baseline/target and noise‑aware comparison .</t>
        </is>
      </c>
      <c r="J83" s="25" t="inlineStr">
        <is>
          <t>AI_Guidance for 'Overall':</t>
        </is>
      </c>
    </row>
    <row r="84" ht="14.5" customHeight="1">
      <c r="C84" s="61" t="n"/>
      <c r="D84" s="61" t="n"/>
      <c r="E84" s="7" t="inlineStr">
        <is>
          <t>Learn: Integrating ad server data?</t>
        </is>
      </c>
      <c r="F84" s="10" t="n"/>
      <c r="G84" s="18" t="n"/>
      <c r="H84" s="18" t="n"/>
      <c r="I84" s="18" t="inlineStr">
        <is>
          <t>Needs individualized definition based on business objective and KPI. Use: Define baseline/target and noise‑aware comparison .</t>
        </is>
      </c>
      <c r="J84" s="57" t="inlineStr">
        <is>
          <t>AI_Guidance for 'Learn: Integrating ad server data?':</t>
        </is>
      </c>
    </row>
    <row r="85" ht="14.5" customHeight="1">
      <c r="C85" s="61" t="n"/>
      <c r="D85" s="61" t="n"/>
      <c r="E85" s="7" t="inlineStr">
        <is>
          <t>Learn: First Party data / CRM integrated?</t>
        </is>
      </c>
      <c r="F85" s="10" t="n"/>
      <c r="G85" s="18" t="n"/>
      <c r="H85" s="18" t="n"/>
      <c r="I85" s="18" t="inlineStr">
        <is>
          <t>Needs individualized definition based on business objective and KPI. Use: Define baseline/target and noise‑aware comparison .</t>
        </is>
      </c>
      <c r="J85" s="57" t="inlineStr">
        <is>
          <t>AI_Guidance for 'Learn: First Party data / CRM integrated?':</t>
        </is>
      </c>
    </row>
    <row r="86" ht="14.5" customHeight="1">
      <c r="C86" s="61" t="n"/>
      <c r="D86" s="61" t="n"/>
      <c r="E86" s="7" t="inlineStr">
        <is>
          <t>Learn: Using feed technology?</t>
        </is>
      </c>
      <c r="F86" s="10" t="n"/>
      <c r="G86" s="18" t="n"/>
      <c r="H86" s="9" t="n"/>
      <c r="I86" s="18" t="inlineStr">
        <is>
          <t>Ensure PMax structure, feed health, and brand control with insights‑driven actions. Use: AG density, Feed error rate, Waste% from irrelevant placements, NC share</t>
        </is>
      </c>
      <c r="J86" s="57" t="inlineStr">
        <is>
          <t>AI_Guidance for 'Learn: Using feed technology?':</t>
        </is>
      </c>
    </row>
    <row r="87" ht="29" customHeight="1">
      <c r="C87" s="61" t="n"/>
      <c r="D87" s="61" t="n"/>
      <c r="E87" s="7" t="inlineStr">
        <is>
          <t>Learn: Integrating offline conversions?</t>
        </is>
      </c>
      <c r="F87" s="10" t="n"/>
      <c r="G87" s="18" t="n"/>
      <c r="H87" s="9" t="n"/>
      <c r="I87" s="18" t="inlineStr">
        <is>
          <t>Connect media to offline outcomes and optimize to incremental visits/sales. Use: Incremental lift, visit rate, halo across regions</t>
        </is>
      </c>
      <c r="J87" s="57" t="inlineStr">
        <is>
          <t>AI_Guidance for 'Learn: Integrating offline conversions?':</t>
        </is>
      </c>
    </row>
    <row r="88" ht="14.5" customHeight="1">
      <c r="C88" s="61" t="n"/>
      <c r="D88" s="63" t="n"/>
      <c r="E88" s="7" t="inlineStr">
        <is>
          <t>Learn: App tracking?</t>
        </is>
      </c>
      <c r="F88" s="10" t="n"/>
      <c r="G88" s="18" t="n"/>
      <c r="H88" s="9" t="n"/>
      <c r="I88" s="18" t="inlineStr">
        <is>
          <t>Maintain clean, deduped conversion tracking with value integrity across GA4/Kochava/SA360. Use: Duplicate rate, conversion lag, value coverage vs finance</t>
        </is>
      </c>
      <c r="J88" s="57" t="inlineStr">
        <is>
          <t>AI_Guidance for 'Learn: App tracking?':</t>
        </is>
      </c>
    </row>
    <row r="89" ht="14.5" customHeight="1">
      <c r="C89" s="63" t="n"/>
      <c r="D89" s="43" t="inlineStr">
        <is>
          <t>Data Manipulation &amp; Measurement</t>
        </is>
      </c>
      <c r="E89" s="26" t="inlineStr">
        <is>
          <t>Overall</t>
        </is>
      </c>
      <c r="F89" s="14">
        <f>IFERROR(AVERAGE(F90:F92)," ")</f>
        <v/>
      </c>
      <c r="G89" s="25" t="n"/>
      <c r="H89" s="15" t="n"/>
      <c r="I89" s="17" t="inlineStr">
        <is>
          <t>Needs individualized definition based on business objective and KPI. Use: Define baseline/target and noise‑aware comparison .</t>
        </is>
      </c>
      <c r="J89" s="56" t="inlineStr">
        <is>
          <t>AI_Guidance for 'Overall':</t>
        </is>
      </c>
    </row>
    <row r="90" ht="14.5" customHeight="1">
      <c r="C90" s="61" t="n"/>
      <c r="D90" s="61" t="n"/>
      <c r="E90" s="27" t="inlineStr">
        <is>
          <t>Using Attribution within PPC?</t>
        </is>
      </c>
      <c r="F90" s="10" t="n"/>
      <c r="G90" s="18" t="n"/>
      <c r="H90" s="18" t="n"/>
      <c r="I90" s="18" t="inlineStr">
        <is>
          <t>Use attribution model fit for objective and channel mix, measure incrementality. Use: Assist ratio, share of path, iROAS vs ROAS deltas by model</t>
        </is>
      </c>
      <c r="J90" s="57" t="inlineStr">
        <is>
          <t>AI_Guidance for 'Using Attribution within PPC?':</t>
        </is>
      </c>
    </row>
    <row r="91" ht="14.5" customFormat="1" customHeight="1" s="59">
      <c r="C91" s="61" t="n"/>
      <c r="D91" s="61" t="n"/>
      <c r="E91" s="7" t="inlineStr">
        <is>
          <t>Using Attribution across channels?</t>
        </is>
      </c>
      <c r="F91" s="10" t="n"/>
      <c r="G91" s="18" t="n"/>
      <c r="H91" s="9" t="n"/>
      <c r="I91" s="18" t="inlineStr">
        <is>
          <t>Use attribution model fit for objective and channel mix, measure incrementality. Use: Assist ratio, share of path, iROAS vs ROAS deltas by model</t>
        </is>
      </c>
      <c r="J91" s="57" t="inlineStr">
        <is>
          <t>AI_Guidance for 'Using Attribution across channels?':</t>
        </is>
      </c>
    </row>
    <row r="92" ht="14.5" customHeight="1">
      <c r="C92" s="63" t="n"/>
      <c r="D92" s="63" t="n"/>
      <c r="E92" s="7" t="inlineStr">
        <is>
          <t>Using holistic measurement?</t>
        </is>
      </c>
      <c r="F92" s="10" t="n"/>
      <c r="G92" s="18" t="n"/>
      <c r="H92" s="9" t="n"/>
      <c r="I92" s="18" t="inlineStr">
        <is>
          <t>Needs individualized definition based on business objective and KPI. Use: Define baseline/target and noise‑aware comparison .</t>
        </is>
      </c>
      <c r="J92" s="57" t="inlineStr">
        <is>
          <t>AI_Guidance for 'Using holistic measurement?':</t>
        </is>
      </c>
    </row>
    <row r="94" ht="18.5" customHeight="1">
      <c r="B94" s="35" t="inlineStr">
        <is>
          <t>Theme</t>
        </is>
      </c>
      <c r="C94" s="35" t="inlineStr">
        <is>
          <t>Definition</t>
        </is>
      </c>
      <c r="D94" s="34" t="inlineStr">
        <is>
          <t>Score</t>
        </is>
      </c>
      <c r="E94" s="35" t="inlineStr">
        <is>
          <t>Rationale</t>
        </is>
      </c>
      <c r="F94" s="30" t="n"/>
      <c r="G94" s="54" t="n"/>
    </row>
    <row r="95" ht="21" customHeight="1">
      <c r="B95" s="28" t="inlineStr">
        <is>
          <t>People and Process</t>
        </is>
      </c>
      <c r="C95" s="28" t="inlineStr">
        <is>
          <t>Evaluates governance, ownership, and workflows that keep the account disciplined.</t>
        </is>
      </c>
      <c r="D95" s="67">
        <f>ROUND(AVERAGE(D14,D15,D16,D17,D19,D22,D24,D32,D34,D35,D47,D50,D57,D80,D82,D87),2)</f>
        <v/>
      </c>
      <c r="E95" s="28" t="inlineStr">
        <is>
          <t>This score indicates mixed execution that still needs sharper focus for people and process, primarily driven by Granular Ad Groups ?. Evaluates governance, ownership, and workflows that keep the account disciplined. It corresponds to a 3.56/5 average across the checks rolled into this theme. Prioritize the cited gaps so this pillar becomes stable and repeatable.</t>
        </is>
      </c>
      <c r="F95" s="30" t="n"/>
    </row>
    <row r="96" ht="21" customHeight="1">
      <c r="B96" s="28" t="inlineStr">
        <is>
          <t>Strategic Alignment</t>
        </is>
      </c>
      <c r="C96" s="28" t="inlineStr">
        <is>
          <t>Checks whether campaigns and objectives ladder up to business goals.</t>
        </is>
      </c>
      <c r="D96" s="67">
        <f>ROUND(AVERAGE(D46),2)</f>
        <v/>
      </c>
      <c r="E96" s="28" t="inlineStr">
        <is>
          <t>This score indicates fragile performance across core routines for strategic alignment, primarily driven by Smart Bidding set up?. Checks whether campaigns and objectives ladder up to business goals. It corresponds to a 3.00/5 average across the checks rolled into this theme. Stabilize the foundational work—especially the items referenced above—before layering new tests.</t>
        </is>
      </c>
      <c r="F96" s="30" t="n"/>
    </row>
    <row r="97" ht="21" customHeight="1">
      <c r="B97" s="28" t="inlineStr">
        <is>
          <t>Media &amp; Channel Planning</t>
        </is>
      </c>
      <c r="C97" s="28" t="inlineStr">
        <is>
          <t>Looks at how coverage and campaign mix balance reach and focus.</t>
        </is>
      </c>
      <c r="D97" s="67">
        <f>ROUND(AVERAGE(D12,D21,D23,D26,D53,D58,D60,D64,D66),2)</f>
        <v/>
      </c>
      <c r="E97" s="28" t="inlineStr">
        <is>
          <t>This score indicates fragile performance across core routines for media &amp; channel planning, primarily driven by Campaigns split by match type?. Looks at how coverage and campaign mix balance reach and focus. It corresponds to a 3.22/5 average across the checks rolled into this theme. Stabilize the foundational work—especially the items referenced above—before layering new tests.</t>
        </is>
      </c>
      <c r="F97" s="30" t="n"/>
    </row>
    <row r="98" ht="21" customHeight="1">
      <c r="B98" s="31" t="inlineStr">
        <is>
          <t>Data, Targeting, and Technology</t>
        </is>
      </c>
      <c r="C98" s="28" t="inlineStr">
        <is>
          <t>Measures the quality of signals, audiences, and tech adoption.</t>
        </is>
      </c>
      <c r="D98" s="67">
        <f>ROUND(AVERAGE(D13,D18,D25,D38,D41,D44,D48,D49,D73,D74,D76,D84,D85,D86),2)</f>
        <v/>
      </c>
      <c r="E98" s="28" t="inlineStr">
        <is>
          <t>This score indicates fragile performance across core routines for data, targeting, and technology, primarily driven by Granular Campaigns?. Measures the quality of signals, audiences, and tech adoption. It corresponds to a 3.00/5 average across the checks rolled into this theme. Stabilize the foundational work—especially the items referenced above—before layering new tests.</t>
        </is>
      </c>
      <c r="F98" s="30" t="n"/>
    </row>
    <row r="99" ht="21" customHeight="1">
      <c r="B99" s="31" t="inlineStr">
        <is>
          <t>Buying Strategy</t>
        </is>
      </c>
      <c r="C99" s="28" t="inlineStr">
        <is>
          <t>Rates bidding approaches, budgets, and pacing discipline.</t>
        </is>
      </c>
      <c r="D99" s="67">
        <f>ROUND(AVERAGE(D52,D54,D68,D69,D70),2)</f>
        <v/>
      </c>
      <c r="E99" s="28" t="inlineStr">
        <is>
          <t>This score indicates mixed execution that still needs sharper focus for buying strategy, primarily driven by Not losing impression Share to budget?. Rates bidding approaches, budgets, and pacing discipline. It corresponds to a 3.60/5 average across the checks rolled into this theme. Prioritize the cited gaps so this pillar becomes stable and repeatable.</t>
        </is>
      </c>
      <c r="F99" s="30" t="n"/>
    </row>
    <row r="100" ht="21" customHeight="1">
      <c r="B100" s="31" t="inlineStr">
        <is>
          <t>Creative, Messaging, and Formats</t>
        </is>
      </c>
      <c r="C100" s="28" t="inlineStr">
        <is>
          <t>Assesses how ad copy and formats tell the brand story.</t>
        </is>
      </c>
      <c r="D100" s="67">
        <f>ROUND(AVERAGE(D31,D36,D37,D39,D43,D65),2)</f>
        <v/>
      </c>
      <c r="E100" s="28" t="inlineStr">
        <is>
          <t>This score indicates mixed execution that still needs sharper focus for creative, messaging, and formats, primarily driven by Adapted to ad groups and keywords?. Assesses how ad copy and formats tell the brand story. It corresponds to a 3.33/5 average across the checks rolled into this theme. Prioritize the cited gaps so this pillar becomes stable and repeatable.</t>
        </is>
      </c>
    </row>
    <row r="101" ht="21" customHeight="1">
      <c r="B101" s="31" t="inlineStr">
        <is>
          <t>Measurement</t>
        </is>
      </c>
      <c r="C101" s="28" t="inlineStr">
        <is>
          <t>Validates tracking, attribution, and reporting rigor.</t>
        </is>
      </c>
      <c r="D101" s="67">
        <f>ROUND(AVERAGE(D33,D88),2)</f>
        <v/>
      </c>
      <c r="E101" s="28" t="inlineStr">
        <is>
          <t>This score indicates mixed execution that still needs sharper focus for measurement, primarily driven by Continuous Test &amp; Learn?. Validates tracking, attribution, and reporting rigor. It corresponds to a 3.50/5 average across the checks rolled into this theme. Prioritize the cited gaps so this pillar becomes stable and repeatable.</t>
        </is>
      </c>
    </row>
    <row r="102" ht="14.5" customHeight="1"/>
    <row r="103">
      <c r="D103" s="32" t="n"/>
    </row>
    <row r="104">
      <c r="D104" s="32" t="n"/>
    </row>
    <row r="116">
      <c r="D116" s="33" t="n"/>
    </row>
  </sheetData>
  <mergeCells count="18">
    <mergeCell ref="C27:C29"/>
    <mergeCell ref="C40:C44"/>
    <mergeCell ref="C71:C76"/>
    <mergeCell ref="C30:C39"/>
    <mergeCell ref="B11:B58"/>
    <mergeCell ref="C51:C54"/>
    <mergeCell ref="C77:C82"/>
    <mergeCell ref="C83:C88"/>
    <mergeCell ref="C59:C66"/>
    <mergeCell ref="C89:C92"/>
    <mergeCell ref="C2:C7"/>
    <mergeCell ref="C55:C58"/>
    <mergeCell ref="C20:C26"/>
    <mergeCell ref="B77:B92"/>
    <mergeCell ref="B59:B76"/>
    <mergeCell ref="C67:C70"/>
    <mergeCell ref="C11:C19"/>
    <mergeCell ref="C45:C50"/>
  </mergeCells>
  <conditionalFormatting sqref="E2:E10 E93:E65519">
    <cfRule type="colorScale" priority="23">
      <colorScale>
        <cfvo type="num" val="5"/>
        <cfvo type="num" val="7"/>
        <cfvo type="num" val="10"/>
        <color rgb="FFF8696B"/>
        <color rgb="FFFFEB84"/>
        <color rgb="FF63BE7B"/>
      </colorScale>
    </cfRule>
  </conditionalFormatting>
  <conditionalFormatting sqref="E3:E7">
    <cfRule type="colorScale" priority="4">
      <colorScale>
        <cfvo type="min"/>
        <cfvo type="percentile" val="50"/>
        <cfvo type="max"/>
        <color rgb="FFF8696B"/>
        <color rgb="FFFFEB84"/>
        <color rgb="FF63BE7B"/>
      </colorScale>
    </cfRule>
  </conditionalFormatting>
  <conditionalFormatting sqref="E12:E19 E21:E26 E28:E29 E31:E39 E41:E44 E46:E50 E52:E54 E56:E58 E60:E66 E68:E70 E72:E76 E78:E82 E84:E88 E90:E92">
    <cfRule type="colorScale" priority="24">
      <colorScale>
        <cfvo type="min"/>
        <cfvo type="percentile" val="50"/>
        <cfvo type="max"/>
        <color rgb="FFF8696B"/>
        <color rgb="FFFFEB84"/>
        <color rgb="FF63BE7B"/>
      </colorScale>
    </cfRule>
  </conditionalFormatting>
  <pageMargins left="0.25" right="0.25" top="0.75" bottom="0.75" header="0.3" footer="0.3"/>
  <pageSetup orientation="landscape" paperSize="8" scale="49" fitToHeight="0"/>
  <rowBreaks count="1" manualBreakCount="1">
    <brk id="80" min="0" max="8"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Kelvin Le</dc:creator>
  <dc:title xmlns:dc="http://purl.org/dc/elements/1.1/">Havas Accelerate SEM Audit Template - Fidelity</dc:title>
  <dcterms:created xmlns:dcterms="http://purl.org/dc/terms/" xmlns:xsi="http://www.w3.org/2001/XMLSchema-instance" xsi:type="dcterms:W3CDTF">2021-08-25T22:32:12Z</dcterms:created>
  <dcterms:modified xmlns:dcterms="http://purl.org/dc/terms/" xmlns:xsi="http://www.w3.org/2001/XMLSchema-instance" xsi:type="dcterms:W3CDTF">2026-01-27T02:00:18Z</dcterms:modified>
  <cp:lastModifiedBy>Kelvin Le</cp:lastModifiedBy>
</cp:coreProperties>
</file>